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 - Universidad Autonoma de San Luis Potosi - UASLP\Documents\OFIMATICA 2026\Excel\"/>
    </mc:Choice>
  </mc:AlternateContent>
  <xr:revisionPtr revIDLastSave="0" documentId="13_ncr:1_{5CFA994F-BF21-421D-8316-DF6DC1FCED76}" xr6:coauthVersionLast="47" xr6:coauthVersionMax="47" xr10:uidLastSave="{00000000-0000-0000-0000-000000000000}"/>
  <bookViews>
    <workbookView xWindow="-108" yWindow="-108" windowWidth="23256" windowHeight="12456" firstSheet="4" activeTab="8" xr2:uid="{34E76C6B-BA52-4667-870F-DE62E0DFADF2}"/>
  </bookViews>
  <sheets>
    <sheet name="Práctica1" sheetId="1" r:id="rId1"/>
    <sheet name="Práctica2" sheetId="2" r:id="rId2"/>
    <sheet name="Práctica 3" sheetId="3" r:id="rId3"/>
    <sheet name="Práctica 4" sheetId="4" r:id="rId4"/>
    <sheet name="Práctica 5" sheetId="5" r:id="rId5"/>
    <sheet name="Practica 6" sheetId="13" r:id="rId6"/>
    <sheet name="Practica 7" sheetId="15" r:id="rId7"/>
    <sheet name="Practica8" sheetId="16" r:id="rId8"/>
    <sheet name="Práctica 9" sheetId="6" r:id="rId9"/>
    <sheet name="Practica 10" sheetId="14" r:id="rId10"/>
    <sheet name="Practica11_5" sheetId="8" r:id="rId11"/>
    <sheet name="Practica6" sheetId="9" r:id="rId12"/>
    <sheet name="Practica7" sheetId="10" r:id="rId13"/>
    <sheet name="Practica7_1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6" l="1"/>
  <c r="F18" i="6"/>
  <c r="F17" i="6"/>
  <c r="F16" i="6"/>
  <c r="F15" i="6"/>
  <c r="F14" i="6"/>
  <c r="F13" i="6"/>
  <c r="E19" i="6"/>
  <c r="E18" i="6"/>
  <c r="E17" i="6"/>
  <c r="E16" i="6"/>
  <c r="E15" i="6"/>
  <c r="E14" i="6"/>
  <c r="E13" i="6"/>
  <c r="D19" i="6"/>
  <c r="D18" i="6"/>
  <c r="D17" i="6"/>
  <c r="D16" i="6"/>
  <c r="D15" i="6"/>
  <c r="D14" i="6"/>
  <c r="D13" i="6"/>
  <c r="C19" i="6"/>
  <c r="C18" i="6"/>
  <c r="C17" i="6"/>
  <c r="C16" i="6"/>
  <c r="C15" i="6"/>
  <c r="C14" i="6"/>
  <c r="C13" i="6"/>
  <c r="B19" i="6"/>
  <c r="B18" i="6"/>
  <c r="B17" i="6"/>
  <c r="B16" i="6"/>
  <c r="B15" i="6"/>
  <c r="B14" i="6"/>
  <c r="B13" i="6"/>
  <c r="F2" i="16"/>
  <c r="M2" i="16"/>
  <c r="T2" i="16"/>
  <c r="AA2" i="16"/>
  <c r="AG2" i="16"/>
  <c r="F3" i="16"/>
  <c r="M3" i="16"/>
  <c r="T3" i="16"/>
  <c r="AA3" i="16"/>
  <c r="AG3" i="16"/>
  <c r="F4" i="16"/>
  <c r="M4" i="16"/>
  <c r="T4" i="16"/>
  <c r="AA4" i="16"/>
  <c r="AG4" i="16"/>
  <c r="F5" i="16"/>
  <c r="M5" i="16"/>
  <c r="T5" i="16"/>
  <c r="AA5" i="16"/>
  <c r="AG5" i="16"/>
  <c r="F6" i="16"/>
  <c r="M6" i="16"/>
  <c r="T6" i="16"/>
  <c r="AA6" i="16"/>
  <c r="AG6" i="16"/>
  <c r="F7" i="16"/>
  <c r="M7" i="16"/>
  <c r="T7" i="16"/>
  <c r="AA7" i="16"/>
  <c r="AG7" i="16"/>
  <c r="F8" i="16"/>
  <c r="M8" i="16"/>
  <c r="T8" i="16"/>
  <c r="AA8" i="16"/>
  <c r="AG8" i="16"/>
  <c r="F9" i="16"/>
  <c r="M9" i="16"/>
  <c r="T9" i="16"/>
  <c r="AA9" i="16"/>
  <c r="AG9" i="16"/>
  <c r="F10" i="16"/>
  <c r="M10" i="16"/>
  <c r="T10" i="16"/>
  <c r="AA10" i="16"/>
  <c r="AG10" i="16"/>
  <c r="F11" i="16"/>
  <c r="M11" i="16"/>
  <c r="T11" i="16"/>
  <c r="AA11" i="16"/>
  <c r="AG11" i="16"/>
  <c r="F12" i="16"/>
  <c r="M12" i="16"/>
  <c r="T12" i="16"/>
  <c r="AA12" i="16"/>
  <c r="AG12" i="16"/>
  <c r="F13" i="16"/>
  <c r="M13" i="16"/>
  <c r="T13" i="16"/>
  <c r="AA13" i="16"/>
  <c r="AG13" i="16"/>
  <c r="F14" i="16"/>
  <c r="M14" i="16"/>
  <c r="T14" i="16"/>
  <c r="AA14" i="16"/>
  <c r="AG14" i="16"/>
  <c r="F15" i="16"/>
  <c r="M15" i="16"/>
  <c r="T15" i="16"/>
  <c r="AA15" i="16"/>
  <c r="AG15" i="16"/>
  <c r="F16" i="16"/>
  <c r="M16" i="16"/>
  <c r="T16" i="16"/>
  <c r="AA16" i="16"/>
  <c r="AG16" i="16"/>
  <c r="F17" i="16"/>
  <c r="M17" i="16"/>
  <c r="T17" i="16"/>
  <c r="AA17" i="16"/>
  <c r="AG17" i="16"/>
  <c r="F18" i="16"/>
  <c r="M18" i="16"/>
  <c r="T18" i="16"/>
  <c r="AA18" i="16"/>
  <c r="AG18" i="16"/>
  <c r="F19" i="16"/>
  <c r="M19" i="16"/>
  <c r="T19" i="16"/>
  <c r="AA19" i="16"/>
  <c r="AG19" i="16"/>
  <c r="F20" i="16"/>
  <c r="M20" i="16"/>
  <c r="T20" i="16"/>
  <c r="AA20" i="16"/>
  <c r="AG20" i="16"/>
  <c r="F21" i="16"/>
  <c r="M21" i="16"/>
  <c r="T21" i="16"/>
  <c r="AA21" i="16"/>
  <c r="AG21" i="16"/>
  <c r="F22" i="16"/>
  <c r="M22" i="16"/>
  <c r="T22" i="16"/>
  <c r="AA22" i="16"/>
  <c r="AG22" i="16"/>
  <c r="F23" i="16"/>
  <c r="M23" i="16"/>
  <c r="T23" i="16"/>
  <c r="AA23" i="16"/>
  <c r="AG23" i="16"/>
  <c r="F24" i="16"/>
  <c r="M24" i="16"/>
  <c r="T24" i="16"/>
  <c r="AA24" i="16"/>
  <c r="AG24" i="16"/>
  <c r="F25" i="16"/>
  <c r="M25" i="16"/>
  <c r="T25" i="16"/>
  <c r="AA25" i="16"/>
  <c r="AG25" i="16"/>
  <c r="F26" i="16"/>
  <c r="M26" i="16"/>
  <c r="T26" i="16"/>
  <c r="AA26" i="16"/>
  <c r="AG26" i="16"/>
  <c r="F27" i="16"/>
  <c r="M27" i="16"/>
  <c r="T27" i="16"/>
  <c r="AA27" i="16"/>
  <c r="AG27" i="16"/>
  <c r="F28" i="16"/>
  <c r="M28" i="16"/>
  <c r="T28" i="16"/>
  <c r="AA28" i="16"/>
  <c r="AG28" i="16"/>
  <c r="F29" i="16"/>
  <c r="M29" i="16"/>
  <c r="T29" i="16"/>
  <c r="AA29" i="16"/>
  <c r="AG29" i="16"/>
  <c r="F30" i="16"/>
  <c r="M30" i="16"/>
  <c r="T30" i="16"/>
  <c r="AA30" i="16"/>
  <c r="AG30" i="16"/>
  <c r="F31" i="16"/>
  <c r="M31" i="16"/>
  <c r="T31" i="16"/>
  <c r="AA31" i="16"/>
  <c r="AG31" i="16"/>
  <c r="F32" i="16"/>
  <c r="M32" i="16"/>
  <c r="T32" i="16"/>
  <c r="AA32" i="16"/>
  <c r="AG32" i="16"/>
  <c r="F33" i="16"/>
  <c r="M33" i="16"/>
  <c r="T33" i="16"/>
  <c r="AA33" i="16"/>
  <c r="AG33" i="16"/>
  <c r="F34" i="16"/>
  <c r="M34" i="16"/>
  <c r="T34" i="16"/>
  <c r="AA34" i="16"/>
  <c r="AG34" i="16"/>
  <c r="F35" i="16"/>
  <c r="M35" i="16"/>
  <c r="T35" i="16"/>
  <c r="AA35" i="16"/>
  <c r="AG35" i="16"/>
  <c r="F36" i="16"/>
  <c r="M36" i="16"/>
  <c r="T36" i="16"/>
  <c r="AA36" i="16"/>
  <c r="AG36" i="16"/>
  <c r="F37" i="16"/>
  <c r="M37" i="16"/>
  <c r="T37" i="16"/>
  <c r="AA37" i="16"/>
  <c r="AG37" i="16"/>
  <c r="F38" i="16"/>
  <c r="M38" i="16"/>
  <c r="T38" i="16"/>
  <c r="AA38" i="16"/>
  <c r="AG38" i="16"/>
  <c r="F39" i="16"/>
  <c r="M39" i="16"/>
  <c r="T39" i="16"/>
  <c r="AA39" i="16"/>
  <c r="AG39" i="16"/>
  <c r="F40" i="16"/>
  <c r="M40" i="16"/>
  <c r="T40" i="16"/>
  <c r="AA40" i="16"/>
  <c r="AG40" i="16"/>
  <c r="F41" i="16"/>
  <c r="M41" i="16"/>
  <c r="T41" i="16"/>
  <c r="AA41" i="16"/>
  <c r="AG41" i="16"/>
  <c r="F42" i="16"/>
  <c r="M42" i="16"/>
  <c r="T42" i="16"/>
  <c r="AA42" i="16"/>
  <c r="AG42" i="16"/>
  <c r="F43" i="16"/>
  <c r="M43" i="16"/>
  <c r="T43" i="16"/>
  <c r="AA43" i="16"/>
  <c r="AG43" i="16"/>
  <c r="F44" i="16"/>
  <c r="M44" i="16"/>
  <c r="T44" i="16"/>
  <c r="AA44" i="16"/>
  <c r="AG44" i="16"/>
  <c r="F45" i="16"/>
  <c r="M45" i="16"/>
  <c r="T45" i="16"/>
  <c r="AA45" i="16"/>
  <c r="AG45" i="16"/>
  <c r="C2" i="15"/>
  <c r="C3" i="15"/>
  <c r="C4" i="15"/>
  <c r="C5" i="15"/>
  <c r="C6" i="15"/>
  <c r="B7" i="15"/>
  <c r="C7" i="15"/>
  <c r="P21" i="14" l="1"/>
  <c r="P20" i="14"/>
  <c r="P19" i="14"/>
  <c r="O21" i="14"/>
  <c r="O20" i="14"/>
  <c r="O19" i="14"/>
  <c r="N21" i="14"/>
  <c r="N19" i="14"/>
  <c r="N20" i="14"/>
  <c r="C21" i="13" l="1"/>
  <c r="C18" i="13"/>
  <c r="C19" i="13"/>
  <c r="C20" i="13"/>
  <c r="C17" i="13"/>
  <c r="B21" i="13"/>
  <c r="C3" i="13"/>
  <c r="C4" i="13"/>
  <c r="C5" i="13"/>
  <c r="C6" i="13"/>
  <c r="C7" i="13"/>
  <c r="C8" i="13"/>
  <c r="C9" i="13"/>
  <c r="C10" i="13"/>
  <c r="C11" i="13"/>
  <c r="C12" i="13"/>
  <c r="C2" i="13"/>
  <c r="B3" i="13"/>
  <c r="B4" i="13"/>
  <c r="B5" i="13"/>
  <c r="B6" i="13"/>
  <c r="B7" i="13"/>
  <c r="B8" i="13"/>
  <c r="B9" i="13"/>
  <c r="B10" i="13"/>
  <c r="B11" i="13"/>
  <c r="B12" i="13"/>
  <c r="B2" i="13"/>
  <c r="G3" i="5" l="1"/>
  <c r="G4" i="5"/>
  <c r="G5" i="5"/>
  <c r="G2" i="5"/>
  <c r="G5" i="4"/>
  <c r="G6" i="4"/>
  <c r="G7" i="4"/>
  <c r="G8" i="4"/>
  <c r="G9" i="4"/>
  <c r="G10" i="4"/>
  <c r="G11" i="4"/>
  <c r="G12" i="4"/>
  <c r="G13" i="4"/>
  <c r="G14" i="4"/>
  <c r="G15" i="4"/>
  <c r="B15" i="10"/>
  <c r="C15" i="10"/>
  <c r="E15" i="10" s="1"/>
  <c r="B16" i="10"/>
  <c r="C16" i="10"/>
  <c r="E16" i="10"/>
  <c r="B17" i="10"/>
  <c r="C17" i="10"/>
  <c r="E17" i="10" s="1"/>
  <c r="B18" i="10"/>
  <c r="C18" i="10"/>
  <c r="E18" i="10" s="1"/>
  <c r="B19" i="10"/>
  <c r="C19" i="10"/>
  <c r="E19" i="10" s="1"/>
  <c r="B20" i="10"/>
  <c r="C20" i="10"/>
  <c r="B21" i="10"/>
  <c r="C21" i="10"/>
  <c r="B22" i="10"/>
  <c r="C22" i="10"/>
  <c r="C23" i="10"/>
  <c r="C24" i="10"/>
  <c r="C25" i="10"/>
  <c r="B8" i="9"/>
  <c r="C8" i="9"/>
  <c r="D8" i="9"/>
  <c r="B9" i="9"/>
  <c r="C9" i="9"/>
  <c r="D9" i="9"/>
  <c r="H3" i="8"/>
  <c r="H4" i="8"/>
  <c r="E26" i="10" l="1"/>
  <c r="F4" i="5"/>
  <c r="F5" i="5"/>
  <c r="F3" i="5"/>
  <c r="F2" i="5"/>
  <c r="C17" i="5"/>
  <c r="C18" i="5"/>
  <c r="C19" i="5"/>
  <c r="C16" i="5"/>
  <c r="C15" i="5"/>
  <c r="C14" i="5"/>
  <c r="C13" i="5"/>
  <c r="C12" i="5"/>
  <c r="C11" i="5"/>
  <c r="C10" i="5"/>
  <c r="C9" i="5"/>
  <c r="C3" i="5"/>
  <c r="C4" i="5"/>
  <c r="C5" i="5"/>
  <c r="C6" i="5"/>
  <c r="C7" i="5"/>
  <c r="C8" i="5"/>
  <c r="C2" i="5"/>
  <c r="E28" i="10" l="1"/>
  <c r="E30" i="10" s="1"/>
  <c r="E31" i="10" s="1"/>
</calcChain>
</file>

<file path=xl/sharedStrings.xml><?xml version="1.0" encoding="utf-8"?>
<sst xmlns="http://schemas.openxmlformats.org/spreadsheetml/2006/main" count="424" uniqueCount="249">
  <si>
    <t xml:space="preserve">Miércoles </t>
  </si>
  <si>
    <t>Electricidad Uno</t>
  </si>
  <si>
    <r>
      <rPr>
        <b/>
        <sz val="11"/>
        <color theme="9" tint="0.59999389629810485"/>
        <rFont val="Abadi"/>
        <family val="2"/>
      </rPr>
      <t>Ofimática</t>
    </r>
    <r>
      <rPr>
        <b/>
        <sz val="11"/>
        <color theme="1"/>
        <rFont val="Abadi"/>
        <family val="2"/>
      </rPr>
      <t xml:space="preserve"> </t>
    </r>
  </si>
  <si>
    <t xml:space="preserve">HORARIO </t>
  </si>
  <si>
    <t>LUNES</t>
  </si>
  <si>
    <t>MARTES</t>
  </si>
  <si>
    <t>MIERCOLES</t>
  </si>
  <si>
    <t>JUEVES</t>
  </si>
  <si>
    <t>VIERNES</t>
  </si>
  <si>
    <t>07:00 AM a 08:00 AM</t>
  </si>
  <si>
    <t>08:00 AM a 09:00 AM</t>
  </si>
  <si>
    <t>09:00 AM a 10:00 AM</t>
  </si>
  <si>
    <t>10:00 AM a 11:00 AM</t>
  </si>
  <si>
    <t>11:00 AM a 12:00 PM</t>
  </si>
  <si>
    <t>12:00 PM a 01:00 PM</t>
  </si>
  <si>
    <t>01:00 PM a 02:00 PM</t>
  </si>
  <si>
    <t>02:00 PM a 03:00 PM</t>
  </si>
  <si>
    <t>6:00 AM a 07:00 AM</t>
  </si>
  <si>
    <t xml:space="preserve">Dibujo en Ingenieria </t>
  </si>
  <si>
    <t>Dibujo en ingeniera</t>
  </si>
  <si>
    <t>Ofimática P.</t>
  </si>
  <si>
    <t>Seminario de E&amp;L</t>
  </si>
  <si>
    <t>Seminario de TE</t>
  </si>
  <si>
    <t>Habilidades SocAft</t>
  </si>
  <si>
    <t>Nombre</t>
  </si>
  <si>
    <t>Encargo</t>
  </si>
  <si>
    <t>Presupuesto</t>
  </si>
  <si>
    <t>Juan</t>
  </si>
  <si>
    <t>Botarguero</t>
  </si>
  <si>
    <t>Dueño</t>
  </si>
  <si>
    <t xml:space="preserve">Gerente </t>
  </si>
  <si>
    <t>Nombre del componente</t>
  </si>
  <si>
    <t>Descripción del componenete</t>
  </si>
  <si>
    <t>Cantidad a comprar</t>
  </si>
  <si>
    <t>Costo total</t>
  </si>
  <si>
    <t>Link del producto</t>
  </si>
  <si>
    <t>Resistencia 220</t>
  </si>
  <si>
    <t>Capacitor 47 Uf</t>
  </si>
  <si>
    <t>Potenciometro 10k</t>
  </si>
  <si>
    <t>Diodos</t>
  </si>
  <si>
    <t>Led rojo</t>
  </si>
  <si>
    <t>Opamp 741</t>
  </si>
  <si>
    <t>Transistor bjt</t>
  </si>
  <si>
    <t>opamp lm324</t>
  </si>
  <si>
    <t>Capacitor 1uf</t>
  </si>
  <si>
    <t>Calculadora de areas</t>
  </si>
  <si>
    <t>Edad</t>
  </si>
  <si>
    <t>Sexo</t>
  </si>
  <si>
    <t>Grado</t>
  </si>
  <si>
    <t>Calificación</t>
  </si>
  <si>
    <t>Tipo de Evaluacion</t>
  </si>
  <si>
    <t>Emmanuel Rodriguez</t>
  </si>
  <si>
    <t>Jonatan Vazquez</t>
  </si>
  <si>
    <t>m</t>
  </si>
  <si>
    <t>f</t>
  </si>
  <si>
    <t>extra</t>
  </si>
  <si>
    <t>ordi</t>
  </si>
  <si>
    <t>Abraham Gaytan</t>
  </si>
  <si>
    <t>Poala Linderos</t>
  </si>
  <si>
    <t>Alejandra Bautisa</t>
  </si>
  <si>
    <t>Adolfo Ferruzca</t>
  </si>
  <si>
    <t>Rolando Campos</t>
  </si>
  <si>
    <t>Daniela Peña</t>
  </si>
  <si>
    <t>BDCONTAR</t>
  </si>
  <si>
    <t>BDCONTARA</t>
  </si>
  <si>
    <t>BDMAX</t>
  </si>
  <si>
    <t>Julio</t>
  </si>
  <si>
    <t>Rodolfo</t>
  </si>
  <si>
    <t>Trabajador</t>
  </si>
  <si>
    <t>Porcentaje</t>
  </si>
  <si>
    <t>Jose</t>
  </si>
  <si>
    <t>Sueldo</t>
  </si>
  <si>
    <t>Oscar</t>
  </si>
  <si>
    <t>TABLA</t>
  </si>
  <si>
    <t>AIRTEL</t>
  </si>
  <si>
    <t>TELEFONO</t>
  </si>
  <si>
    <t>ROLEX</t>
  </si>
  <si>
    <t>RELOJ</t>
  </si>
  <si>
    <t>SABA</t>
  </si>
  <si>
    <t>CAMARA</t>
  </si>
  <si>
    <t>SONY</t>
  </si>
  <si>
    <t>VIDEO</t>
  </si>
  <si>
    <t>EPSON</t>
  </si>
  <si>
    <t>IMPRESORA</t>
  </si>
  <si>
    <t>IBM</t>
  </si>
  <si>
    <t>ORDENADOR</t>
  </si>
  <si>
    <t>RADIO</t>
  </si>
  <si>
    <t>ELBE</t>
  </si>
  <si>
    <t>TELEVISOR</t>
  </si>
  <si>
    <t>PRECIO</t>
  </si>
  <si>
    <t>MARCA</t>
  </si>
  <si>
    <t>ARTICULO</t>
  </si>
  <si>
    <t>CODIGO</t>
  </si>
  <si>
    <t>COMMISION</t>
  </si>
  <si>
    <t>TOTAL</t>
  </si>
  <si>
    <t>FREIGHT</t>
  </si>
  <si>
    <t>TAX</t>
  </si>
  <si>
    <t>DISCOUNT</t>
  </si>
  <si>
    <t>SUBTOTAL</t>
  </si>
  <si>
    <t xml:space="preserve">EXTENDED PRICE </t>
  </si>
  <si>
    <t>QUANTITY</t>
  </si>
  <si>
    <t>UNIT PRICE</t>
  </si>
  <si>
    <t>DESCRPTION</t>
  </si>
  <si>
    <t>ITEM NUMBER</t>
  </si>
  <si>
    <t>TYPE</t>
  </si>
  <si>
    <t>EBANO</t>
  </si>
  <si>
    <t>STATE</t>
  </si>
  <si>
    <t>LOS NARANJOS 437</t>
  </si>
  <si>
    <t>ADDRESS</t>
  </si>
  <si>
    <t>LOKOTEL</t>
  </si>
  <si>
    <t>NAME</t>
  </si>
  <si>
    <t>COMPANY ADRESS</t>
  </si>
  <si>
    <t>INVOICE</t>
  </si>
  <si>
    <t>INVALID</t>
  </si>
  <si>
    <t>INK JET PRINTER</t>
  </si>
  <si>
    <t>LASER PRINTER</t>
  </si>
  <si>
    <t>DOT MATRIX PRINTER</t>
  </si>
  <si>
    <t>101 KEYBOARD</t>
  </si>
  <si>
    <t>UVGA MONITOR</t>
  </si>
  <si>
    <t>SVGA MONITOR</t>
  </si>
  <si>
    <t>1.44MB FLOPPY DISK</t>
  </si>
  <si>
    <t>545MB HARDISK</t>
  </si>
  <si>
    <t xml:space="preserve">850MB HARD DISK </t>
  </si>
  <si>
    <t>1.2GB HARD DISK</t>
  </si>
  <si>
    <t>DESCRIPTION</t>
  </si>
  <si>
    <t>ITEM #</t>
  </si>
  <si>
    <t>C</t>
  </si>
  <si>
    <t>Zumalacarregui</t>
  </si>
  <si>
    <t>Idoia</t>
  </si>
  <si>
    <t>B</t>
  </si>
  <si>
    <t>Urdiales</t>
  </si>
  <si>
    <t>Hugo</t>
  </si>
  <si>
    <t>A</t>
  </si>
  <si>
    <t>Torrelles</t>
  </si>
  <si>
    <t>Abunciana</t>
  </si>
  <si>
    <t>Sinforoso</t>
  </si>
  <si>
    <t>Demetrio</t>
  </si>
  <si>
    <t>Segarra</t>
  </si>
  <si>
    <t>Ataulfo</t>
  </si>
  <si>
    <t>Santemesma</t>
  </si>
  <si>
    <t>Romualdo</t>
  </si>
  <si>
    <t>Sanchez</t>
  </si>
  <si>
    <t>Quintiliano</t>
  </si>
  <si>
    <t>Pitu</t>
  </si>
  <si>
    <t>Macarena</t>
  </si>
  <si>
    <t>Peritarpei</t>
  </si>
  <si>
    <t>Teodófilo</t>
  </si>
  <si>
    <t>Perez</t>
  </si>
  <si>
    <t>Higinia</t>
  </si>
  <si>
    <t>Urko</t>
  </si>
  <si>
    <t>Parralo</t>
  </si>
  <si>
    <t>Heladio</t>
  </si>
  <si>
    <t>Mastuerzo</t>
  </si>
  <si>
    <t>Leovigildo</t>
  </si>
  <si>
    <t>Martinez</t>
  </si>
  <si>
    <t>Gumersindo</t>
  </si>
  <si>
    <t>Sigfrido</t>
  </si>
  <si>
    <t>Martineti</t>
  </si>
  <si>
    <t>Godofredo</t>
  </si>
  <si>
    <t>Gutierrez</t>
  </si>
  <si>
    <t>Estrellita</t>
  </si>
  <si>
    <t>Garcia</t>
  </si>
  <si>
    <t>Leocadia</t>
  </si>
  <si>
    <t>Gara</t>
  </si>
  <si>
    <t>Prudencia</t>
  </si>
  <si>
    <t>Bengoetxea</t>
  </si>
  <si>
    <t>Itziar</t>
  </si>
  <si>
    <t>Arazabaleta</t>
  </si>
  <si>
    <t>Txetxu</t>
  </si>
  <si>
    <t>Media</t>
  </si>
  <si>
    <t>História</t>
  </si>
  <si>
    <t>Matemáticas</t>
  </si>
  <si>
    <t>Lenguaje</t>
  </si>
  <si>
    <t>Clase</t>
  </si>
  <si>
    <t>Apellidos</t>
  </si>
  <si>
    <t>Almacenista</t>
  </si>
  <si>
    <t>Alex</t>
  </si>
  <si>
    <t>Gualberto</t>
  </si>
  <si>
    <t>Brandon</t>
  </si>
  <si>
    <t>Limita el flujo de corriente eléctrica; comúnmente usada para proteger LEDs en circuitos de 5V</t>
  </si>
  <si>
    <t>Almacena energía eléctrica temporalmente; utilizado para filtrado y estabilización de voltaje</t>
  </si>
  <si>
    <t>Resistencia variable de 10 kiloohmios que permite ajustar manualmente niveles de voltaje o señal</t>
  </si>
  <si>
    <t>Componentes que permiten el flujo de corriente en una sola dirección, protegiendo contra polaridad inversa</t>
  </si>
  <si>
    <t>Diodo emisor de luz de color rojo; utilizado como indicador visual de estado o funcionamiento</t>
  </si>
  <si>
    <t>Dispositivo semiconductor utilizado para amplificar señales o como interruptor electrónico</t>
  </si>
  <si>
    <t>Amplificador operacional clásico de un solo canal, utilizado en tareas generales de amplificación y comparación</t>
  </si>
  <si>
    <t>Circuito integrado que contiene cuatro amplificadores operacionales independientes de bajo consumo</t>
  </si>
  <si>
    <t>Componente para almacenamiento de carga; ideal para acoplamiento de señales y filtrado de alta frecuencia</t>
  </si>
  <si>
    <t>Regulador de voltaje lineal que proporciona una salida constante y estable de $+5$V</t>
  </si>
  <si>
    <t>Regulador de voltaje LM7805</t>
  </si>
  <si>
    <t>Costo Unitario</t>
  </si>
  <si>
    <t>Binario</t>
  </si>
  <si>
    <t>Decimal</t>
  </si>
  <si>
    <t>HEX</t>
  </si>
  <si>
    <t>2^5</t>
  </si>
  <si>
    <t>2^4</t>
  </si>
  <si>
    <t>2^3</t>
  </si>
  <si>
    <t>2^2</t>
  </si>
  <si>
    <t>2^1</t>
  </si>
  <si>
    <t>2^0</t>
  </si>
  <si>
    <t>Día</t>
  </si>
  <si>
    <t>Lunes</t>
  </si>
  <si>
    <t>Martes</t>
  </si>
  <si>
    <t>Miércoles</t>
  </si>
  <si>
    <t>Jueves</t>
  </si>
  <si>
    <t>Viernes</t>
  </si>
  <si>
    <t>Gasto</t>
  </si>
  <si>
    <t>Total</t>
  </si>
  <si>
    <t xml:space="preserve">Estado </t>
  </si>
  <si>
    <t>X</t>
  </si>
  <si>
    <t>Y</t>
  </si>
  <si>
    <t>Y=3X-2</t>
  </si>
  <si>
    <t>Y2</t>
  </si>
  <si>
    <t>Y2=A2*A2+1</t>
  </si>
  <si>
    <t>EDADES</t>
  </si>
  <si>
    <t>PERSONAS</t>
  </si>
  <si>
    <t>PORCENTAJE</t>
  </si>
  <si>
    <t>13-19</t>
  </si>
  <si>
    <t>15-18</t>
  </si>
  <si>
    <t>18-21</t>
  </si>
  <si>
    <t>21-30</t>
  </si>
  <si>
    <t>Moda</t>
  </si>
  <si>
    <t>total de examenes</t>
  </si>
  <si>
    <t>Aprobado</t>
  </si>
  <si>
    <t>Reprobado</t>
  </si>
  <si>
    <t>Historia</t>
  </si>
  <si>
    <t>Clase C</t>
  </si>
  <si>
    <t>Claase B</t>
  </si>
  <si>
    <t>Clase A</t>
  </si>
  <si>
    <t>Media por Clase y Asignatura</t>
  </si>
  <si>
    <t>Nota Máxim por clase y asignatura</t>
  </si>
  <si>
    <t>Aprobados</t>
  </si>
  <si>
    <t>Suspendidos</t>
  </si>
  <si>
    <t>Notas</t>
  </si>
  <si>
    <t>NotHis</t>
  </si>
  <si>
    <t>NotMat</t>
  </si>
  <si>
    <t>NotLenguaje</t>
  </si>
  <si>
    <t>BDMIN</t>
  </si>
  <si>
    <t>BDSUMA</t>
  </si>
  <si>
    <t>BDPROMEDIO</t>
  </si>
  <si>
    <t>BDPRODUCTO</t>
  </si>
  <si>
    <t>% de personas</t>
  </si>
  <si>
    <t>Num. De personas</t>
  </si>
  <si>
    <t>Rango de edad</t>
  </si>
  <si>
    <t>cte de tiempo</t>
  </si>
  <si>
    <t>Vfuente</t>
  </si>
  <si>
    <t>Voltaje Ideal</t>
  </si>
  <si>
    <t>Tiempo (s)</t>
  </si>
  <si>
    <t>Voltaje con Ruido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</si>
</sst>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omic Sans MS"/>
      <family val="4"/>
    </font>
    <font>
      <b/>
      <sz val="11"/>
      <color theme="1"/>
      <name val="Abadi"/>
      <family val="2"/>
    </font>
    <font>
      <b/>
      <sz val="11"/>
      <color theme="9" tint="0.59999389629810485"/>
      <name val="Abad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erlin Sans FB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3FF"/>
        <bgColor indexed="64"/>
      </patternFill>
    </fill>
    <fill>
      <patternFill patternType="solid">
        <fgColor rgb="FFF7B09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CD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0" fontId="8" fillId="0" borderId="0"/>
    <xf numFmtId="44" fontId="9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right" vertical="top"/>
    </xf>
    <xf numFmtId="0" fontId="1" fillId="0" borderId="4" xfId="0" applyFont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" fontId="5" fillId="5" borderId="7" xfId="0" applyNumberFormat="1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8" fontId="5" fillId="5" borderId="9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11" borderId="12" xfId="0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0" borderId="0" xfId="1"/>
    <xf numFmtId="0" fontId="8" fillId="0" borderId="0" xfId="1" applyAlignment="1">
      <alignment horizontal="center"/>
    </xf>
    <xf numFmtId="0" fontId="8" fillId="0" borderId="13" xfId="1" applyBorder="1"/>
    <xf numFmtId="0" fontId="8" fillId="0" borderId="14" xfId="1" applyBorder="1"/>
    <xf numFmtId="0" fontId="8" fillId="0" borderId="15" xfId="1" applyBorder="1"/>
    <xf numFmtId="0" fontId="8" fillId="0" borderId="16" xfId="1" applyBorder="1"/>
    <xf numFmtId="0" fontId="8" fillId="0" borderId="17" xfId="1" applyBorder="1"/>
    <xf numFmtId="0" fontId="8" fillId="0" borderId="12" xfId="1" applyBorder="1" applyAlignment="1">
      <alignment horizontal="center"/>
    </xf>
    <xf numFmtId="0" fontId="8" fillId="0" borderId="12" xfId="1" applyBorder="1"/>
    <xf numFmtId="0" fontId="8" fillId="0" borderId="18" xfId="1" applyBorder="1"/>
    <xf numFmtId="0" fontId="8" fillId="0" borderId="19" xfId="1" applyBorder="1"/>
    <xf numFmtId="0" fontId="8" fillId="0" borderId="20" xfId="1" applyBorder="1"/>
    <xf numFmtId="164" fontId="8" fillId="0" borderId="12" xfId="1" applyNumberFormat="1" applyBorder="1"/>
    <xf numFmtId="0" fontId="8" fillId="0" borderId="21" xfId="1" applyBorder="1"/>
    <xf numFmtId="0" fontId="8" fillId="0" borderId="22" xfId="1" applyBorder="1"/>
    <xf numFmtId="0" fontId="8" fillId="0" borderId="23" xfId="1" applyBorder="1"/>
    <xf numFmtId="0" fontId="8" fillId="0" borderId="16" xfId="1" applyBorder="1" applyAlignment="1">
      <alignment wrapText="1"/>
    </xf>
    <xf numFmtId="0" fontId="8" fillId="0" borderId="21" xfId="1" applyBorder="1" applyAlignment="1">
      <alignment vertical="center" wrapText="1"/>
    </xf>
    <xf numFmtId="0" fontId="8" fillId="0" borderId="12" xfId="1" applyBorder="1" applyAlignment="1">
      <alignment vertical="center" wrapText="1"/>
    </xf>
    <xf numFmtId="0" fontId="8" fillId="0" borderId="12" xfId="1" applyBorder="1" applyAlignment="1">
      <alignment vertical="center"/>
    </xf>
    <xf numFmtId="0" fontId="8" fillId="0" borderId="12" xfId="1" applyBorder="1" applyAlignment="1">
      <alignment wrapText="1"/>
    </xf>
    <xf numFmtId="44" fontId="0" fillId="0" borderId="0" xfId="2" applyFont="1"/>
    <xf numFmtId="44" fontId="0" fillId="0" borderId="0" xfId="0" applyNumberForma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12" xfId="0" applyFill="1" applyBorder="1" applyAlignment="1">
      <alignment horizontal="center"/>
    </xf>
    <xf numFmtId="0" fontId="0" fillId="13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3" xfId="0" applyBorder="1"/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/>
    <xf numFmtId="0" fontId="0" fillId="16" borderId="26" xfId="0" applyFill="1" applyBorder="1"/>
    <xf numFmtId="0" fontId="0" fillId="16" borderId="27" xfId="0" applyFill="1" applyBorder="1"/>
    <xf numFmtId="0" fontId="0" fillId="17" borderId="26" xfId="0" applyFill="1" applyBorder="1"/>
    <xf numFmtId="0" fontId="0" fillId="17" borderId="27" xfId="0" applyFill="1" applyBorder="1"/>
    <xf numFmtId="0" fontId="0" fillId="16" borderId="25" xfId="0" applyFill="1" applyBorder="1"/>
    <xf numFmtId="0" fontId="0" fillId="17" borderId="25" xfId="0" applyFill="1" applyBorder="1"/>
    <xf numFmtId="0" fontId="0" fillId="17" borderId="28" xfId="0" applyFill="1" applyBorder="1"/>
    <xf numFmtId="0" fontId="0" fillId="17" borderId="29" xfId="0" applyFill="1" applyBorder="1"/>
    <xf numFmtId="0" fontId="0" fillId="17" borderId="30" xfId="0" applyFill="1" applyBorder="1"/>
    <xf numFmtId="0" fontId="0" fillId="0" borderId="12" xfId="0" applyBorder="1" applyAlignment="1">
      <alignment horizontal="left" vertic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0" xfId="1" applyAlignment="1">
      <alignment horizontal="center" wrapText="1"/>
    </xf>
    <xf numFmtId="0" fontId="8" fillId="0" borderId="12" xfId="1" applyBorder="1" applyAlignment="1">
      <alignment horizontal="center"/>
    </xf>
    <xf numFmtId="0" fontId="11" fillId="18" borderId="31" xfId="0" applyFont="1" applyFill="1" applyBorder="1"/>
    <xf numFmtId="165" fontId="0" fillId="19" borderId="33" xfId="0" applyNumberFormat="1" applyFill="1" applyBorder="1" applyAlignment="1">
      <alignment horizontal="center"/>
    </xf>
    <xf numFmtId="2" fontId="0" fillId="19" borderId="33" xfId="0" applyNumberFormat="1" applyFill="1" applyBorder="1" applyAlignment="1">
      <alignment horizontal="center"/>
    </xf>
    <xf numFmtId="165" fontId="0" fillId="20" borderId="33" xfId="0" applyNumberFormat="1" applyFill="1" applyBorder="1" applyAlignment="1">
      <alignment horizontal="center"/>
    </xf>
    <xf numFmtId="2" fontId="0" fillId="20" borderId="33" xfId="0" applyNumberFormat="1" applyFill="1" applyBorder="1" applyAlignment="1">
      <alignment horizontal="center"/>
    </xf>
    <xf numFmtId="165" fontId="0" fillId="12" borderId="33" xfId="0" applyNumberFormat="1" applyFill="1" applyBorder="1" applyAlignment="1">
      <alignment horizontal="center"/>
    </xf>
    <xf numFmtId="2" fontId="0" fillId="12" borderId="33" xfId="0" applyNumberFormat="1" applyFill="1" applyBorder="1" applyAlignment="1">
      <alignment horizontal="center"/>
    </xf>
    <xf numFmtId="165" fontId="0" fillId="21" borderId="33" xfId="0" applyNumberFormat="1" applyFill="1" applyBorder="1" applyAlignment="1">
      <alignment horizontal="center"/>
    </xf>
    <xf numFmtId="2" fontId="0" fillId="21" borderId="33" xfId="0" applyNumberFormat="1" applyFill="1" applyBorder="1" applyAlignment="1">
      <alignment horizontal="center"/>
    </xf>
    <xf numFmtId="165" fontId="0" fillId="2" borderId="33" xfId="0" applyNumberFormat="1" applyFill="1" applyBorder="1" applyAlignment="1">
      <alignment horizontal="center"/>
    </xf>
    <xf numFmtId="2" fontId="0" fillId="2" borderId="33" xfId="0" applyNumberFormat="1" applyFill="1" applyBorder="1" applyAlignment="1">
      <alignment horizontal="center"/>
    </xf>
    <xf numFmtId="2" fontId="0" fillId="22" borderId="33" xfId="0" applyNumberFormat="1" applyFill="1" applyBorder="1" applyAlignment="1">
      <alignment horizontal="center"/>
    </xf>
    <xf numFmtId="0" fontId="0" fillId="19" borderId="33" xfId="0" applyFill="1" applyBorder="1"/>
    <xf numFmtId="0" fontId="0" fillId="20" borderId="33" xfId="0" applyFill="1" applyBorder="1"/>
    <xf numFmtId="0" fontId="0" fillId="12" borderId="33" xfId="0" applyFill="1" applyBorder="1"/>
    <xf numFmtId="0" fontId="0" fillId="21" borderId="33" xfId="0" applyFill="1" applyBorder="1"/>
    <xf numFmtId="0" fontId="0" fillId="2" borderId="33" xfId="0" applyFill="1" applyBorder="1"/>
    <xf numFmtId="0" fontId="4" fillId="23" borderId="33" xfId="0" applyFont="1" applyFill="1" applyBorder="1"/>
    <xf numFmtId="1" fontId="0" fillId="19" borderId="33" xfId="0" applyNumberFormat="1" applyFill="1" applyBorder="1" applyAlignment="1">
      <alignment horizontal="center"/>
    </xf>
    <xf numFmtId="0" fontId="4" fillId="24" borderId="33" xfId="0" applyFont="1" applyFill="1" applyBorder="1"/>
    <xf numFmtId="1" fontId="0" fillId="20" borderId="33" xfId="0" applyNumberFormat="1" applyFill="1" applyBorder="1" applyAlignment="1">
      <alignment horizontal="center"/>
    </xf>
    <xf numFmtId="0" fontId="4" fillId="25" borderId="33" xfId="0" applyFont="1" applyFill="1" applyBorder="1"/>
    <xf numFmtId="1" fontId="0" fillId="12" borderId="33" xfId="0" applyNumberFormat="1" applyFill="1" applyBorder="1" applyAlignment="1">
      <alignment horizontal="center"/>
    </xf>
    <xf numFmtId="0" fontId="4" fillId="26" borderId="33" xfId="0" applyFont="1" applyFill="1" applyBorder="1"/>
    <xf numFmtId="1" fontId="0" fillId="21" borderId="33" xfId="0" applyNumberFormat="1" applyFill="1" applyBorder="1" applyAlignment="1">
      <alignment horizontal="center"/>
    </xf>
    <xf numFmtId="0" fontId="4" fillId="27" borderId="33" xfId="0" applyFont="1" applyFill="1" applyBorder="1"/>
    <xf numFmtId="1" fontId="0" fillId="2" borderId="33" xfId="0" applyNumberFormat="1" applyFill="1" applyBorder="1" applyAlignment="1">
      <alignment horizontal="center"/>
    </xf>
    <xf numFmtId="1" fontId="0" fillId="22" borderId="33" xfId="0" applyNumberFormat="1" applyFill="1" applyBorder="1" applyAlignment="1">
      <alignment horizontal="center"/>
    </xf>
    <xf numFmtId="0" fontId="4" fillId="28" borderId="33" xfId="0" applyFont="1" applyFill="1" applyBorder="1"/>
    <xf numFmtId="0" fontId="4" fillId="29" borderId="33" xfId="0" applyFont="1" applyFill="1" applyBorder="1"/>
    <xf numFmtId="0" fontId="4" fillId="13" borderId="33" xfId="0" applyFont="1" applyFill="1" applyBorder="1"/>
    <xf numFmtId="0" fontId="4" fillId="30" borderId="33" xfId="0" applyFont="1" applyFill="1" applyBorder="1"/>
    <xf numFmtId="0" fontId="4" fillId="31" borderId="33" xfId="0" applyFont="1" applyFill="1" applyBorder="1"/>
    <xf numFmtId="0" fontId="4" fillId="32" borderId="33" xfId="0" applyFont="1" applyFill="1" applyBorder="1"/>
    <xf numFmtId="0" fontId="12" fillId="18" borderId="32" xfId="0" applyFont="1" applyFill="1" applyBorder="1" applyAlignment="1">
      <alignment vertical="center" wrapText="1"/>
    </xf>
  </cellXfs>
  <cellStyles count="3">
    <cellStyle name="Moneda" xfId="2" builtinId="4"/>
    <cellStyle name="Normal" xfId="0" builtinId="0"/>
    <cellStyle name="Normal 2" xfId="1" xr:uid="{C52EB89C-1040-4A4D-ADBB-790BBC06DD74}"/>
  </cellStyles>
  <dxfs count="2"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rlin Sans FB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'Practica 6'!$A$1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'Practica 6'!$A$2:$A$12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8-45A9-9B83-D3362548F5D5}"/>
            </c:ext>
          </c:extLst>
        </c:ser>
        <c:ser>
          <c:idx val="1"/>
          <c:order val="1"/>
          <c:tx>
            <c:strRef>
              <c:f>'Practica 6'!$B$1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'Practica 6'!$B$2:$B$12</c:f>
              <c:numCache>
                <c:formatCode>General</c:formatCode>
                <c:ptCount val="11"/>
                <c:pt idx="0">
                  <c:v>-17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-5</c:v>
                </c:pt>
                <c:pt idx="5">
                  <c:v>-2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8-45A9-9B83-D3362548F5D5}"/>
            </c:ext>
          </c:extLst>
        </c:ser>
        <c:ser>
          <c:idx val="2"/>
          <c:order val="2"/>
          <c:tx>
            <c:strRef>
              <c:f>'Practica 6'!$C$1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'Practica 6'!$C$2:$C$12</c:f>
              <c:numCache>
                <c:formatCode>General</c:formatCode>
                <c:ptCount val="11"/>
                <c:pt idx="0">
                  <c:v>26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17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8-45A9-9B83-D3362548F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963039"/>
        <c:axId val="403965119"/>
      </c:lineChart>
      <c:catAx>
        <c:axId val="403963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65119"/>
        <c:crosses val="autoZero"/>
        <c:auto val="1"/>
        <c:lblAlgn val="ctr"/>
        <c:lblOffset val="100"/>
        <c:noMultiLvlLbl val="0"/>
      </c:catAx>
      <c:valAx>
        <c:axId val="4039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6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'Practica 6'!$A$16</c:f>
              <c:strCache>
                <c:ptCount val="1"/>
                <c:pt idx="0">
                  <c:v>EDADES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'Practica 6'!$A$17:$A$21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09-4796-8E40-AB6C4B579594}"/>
            </c:ext>
          </c:extLst>
        </c:ser>
        <c:ser>
          <c:idx val="1"/>
          <c:order val="1"/>
          <c:tx>
            <c:strRef>
              <c:f>'Practica 6'!$B$16</c:f>
              <c:strCache>
                <c:ptCount val="1"/>
                <c:pt idx="0">
                  <c:v>PERSONAS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'Practica 6'!$B$17:$B$21</c:f>
              <c:numCache>
                <c:formatCode>General</c:formatCode>
                <c:ptCount val="5"/>
                <c:pt idx="0">
                  <c:v>12</c:v>
                </c:pt>
                <c:pt idx="1">
                  <c:v>63</c:v>
                </c:pt>
                <c:pt idx="2">
                  <c:v>45</c:v>
                </c:pt>
                <c:pt idx="3">
                  <c:v>97</c:v>
                </c:pt>
                <c:pt idx="4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09-4796-8E40-AB6C4B579594}"/>
            </c:ext>
          </c:extLst>
        </c:ser>
        <c:ser>
          <c:idx val="2"/>
          <c:order val="2"/>
          <c:tx>
            <c:strRef>
              <c:f>'Practica 6'!$C$16</c:f>
              <c:strCache>
                <c:ptCount val="1"/>
                <c:pt idx="0">
                  <c:v>PORCENTAJE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'Practica 6'!$C$17:$C$21</c:f>
              <c:numCache>
                <c:formatCode>General</c:formatCode>
                <c:ptCount val="5"/>
                <c:pt idx="0">
                  <c:v>5.5299539170506913</c:v>
                </c:pt>
                <c:pt idx="1">
                  <c:v>29.032258064516128</c:v>
                </c:pt>
                <c:pt idx="2">
                  <c:v>20.737327188940093</c:v>
                </c:pt>
                <c:pt idx="3">
                  <c:v>44.700460829493089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09-4796-8E40-AB6C4B579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955135"/>
        <c:axId val="403950559"/>
      </c:lineChart>
      <c:catAx>
        <c:axId val="40395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50559"/>
        <c:crosses val="autoZero"/>
        <c:auto val="1"/>
        <c:lblAlgn val="ctr"/>
        <c:lblOffset val="100"/>
        <c:noMultiLvlLbl val="0"/>
      </c:catAx>
      <c:valAx>
        <c:axId val="4039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395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'Practica 7'!$B$1</c:f>
              <c:strCache>
                <c:ptCount val="1"/>
                <c:pt idx="0">
                  <c:v>Num. De personas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E7-4BAE-A60A-AEEBA0850F2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E7-4BAE-A60A-AEEBA0850F2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E7-4BAE-A60A-AEEBA0850F2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E7-4BAE-A60A-AEEBA0850F2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E7-4BAE-A60A-AEEBA0850F2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E7-4BAE-A60A-AEEBA0850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'Practica 7'!$A$2:$A$7</c:f>
              <c:strCach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TOTAL</c:v>
                </c:pt>
              </c:strCache>
            </c:strRef>
          </c:cat>
          <c:val>
            <c:numRef>
              <c:f>'Practica 7'!$B$2:$B$7</c:f>
              <c:numCache>
                <c:formatCode>General</c:formatCode>
                <c:ptCount val="6"/>
                <c:pt idx="0">
                  <c:v>6</c:v>
                </c:pt>
                <c:pt idx="1">
                  <c:v>17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E7-4BAE-A60A-AEEBA0850F2D}"/>
            </c:ext>
          </c:extLst>
        </c:ser>
        <c:ser>
          <c:idx val="1"/>
          <c:order val="1"/>
          <c:tx>
            <c:strRef>
              <c:f>'Practica 7'!$C$1</c:f>
              <c:strCache>
                <c:ptCount val="1"/>
                <c:pt idx="0">
                  <c:v>% de personas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9E7-4BAE-A60A-AEEBA0850F2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9E7-4BAE-A60A-AEEBA0850F2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9E7-4BAE-A60A-AEEBA0850F2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9E7-4BAE-A60A-AEEBA0850F2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79E7-4BAE-A60A-AEEBA0850F2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79E7-4BAE-A60A-AEEBA0850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'Practica 7'!$A$2:$A$7</c:f>
              <c:strCach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TOTAL</c:v>
                </c:pt>
              </c:strCache>
            </c:strRef>
          </c:cat>
          <c:val>
            <c:numRef>
              <c:f>'Practica 7'!$C$2:$C$7</c:f>
              <c:numCache>
                <c:formatCode>General</c:formatCode>
                <c:ptCount val="6"/>
                <c:pt idx="0">
                  <c:v>17.142857142857142</c:v>
                </c:pt>
                <c:pt idx="1">
                  <c:v>48.571428571428569</c:v>
                </c:pt>
                <c:pt idx="2">
                  <c:v>22.857142857142858</c:v>
                </c:pt>
                <c:pt idx="3">
                  <c:v>8.5714285714285712</c:v>
                </c:pt>
                <c:pt idx="4">
                  <c:v>2.8571428571428572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9E7-4BAE-A60A-AEEBA0850F2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3</xdr:row>
      <xdr:rowOff>167640</xdr:rowOff>
    </xdr:from>
    <xdr:to>
      <xdr:col>9</xdr:col>
      <xdr:colOff>434340</xdr:colOff>
      <xdr:row>18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32BD0C-2FC3-98D2-DE67-0E3D1D573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441960</xdr:colOff>
      <xdr:row>21</xdr:row>
      <xdr:rowOff>7620</xdr:rowOff>
    </xdr:from>
    <xdr:to>
      <xdr:col>9</xdr:col>
      <xdr:colOff>259080</xdr:colOff>
      <xdr:row>36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B36361-0098-DBC8-25B0-8ACFDC04B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8</xdr:row>
      <xdr:rowOff>22860</xdr:rowOff>
    </xdr:from>
    <xdr:to>
      <xdr:col>4</xdr:col>
      <xdr:colOff>731520</xdr:colOff>
      <xdr:row>23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4400FF-470E-4F54-A8E6-FACB2560F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B95AD-7D83-46A2-A959-70C73A18C776}" name="Tabla1" displayName="Tabla1" ref="A1:C5" totalsRowShown="0" headerRowDxfId="1">
  <autoFilter ref="A1:C5" xr:uid="{CB5B95AD-7D83-46A2-A959-70C73A18C776}"/>
  <sortState xmlns:xlrd2="http://schemas.microsoft.com/office/spreadsheetml/2017/richdata2" ref="A2:C5">
    <sortCondition descending="1" ref="A1:A5"/>
  </sortState>
  <tableColumns count="3">
    <tableColumn id="1" xr3:uid="{658C71CD-06A1-47F2-AF0A-B538C42CC194}" name="Nombre"/>
    <tableColumn id="2" xr3:uid="{E13289D4-B34E-4A7B-97C5-860052AFAE5C}" name="Encargo"/>
    <tableColumn id="3" xr3:uid="{9FBCD46B-2E57-47DE-BF8F-9B55E88481E1}" name="Presupue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1E365C-9101-4270-A08D-83FFB1E2E2F1}" name="Tabla2" displayName="Tabla2" ref="C4:H15" totalsRowShown="0">
  <autoFilter ref="C4:H15" xr:uid="{2C1E365C-9101-4270-A08D-83FFB1E2E2F1}"/>
  <tableColumns count="6">
    <tableColumn id="1" xr3:uid="{1C1FB4A6-53E0-40D1-8ACA-BB7CF0B017EA}" name="Nombre del componente"/>
    <tableColumn id="2" xr3:uid="{9EB2425C-23DA-40B7-BFA5-4EF77C03E6C5}" name="Descripción del componenete"/>
    <tableColumn id="3" xr3:uid="{81CAB67B-7AE4-4634-AB6C-F1F8CEAE132D}" name="Cantidad a comprar"/>
    <tableColumn id="4" xr3:uid="{E8D5CE30-9477-4B56-B885-8A373ED8AB0E}" name="Costo Unitario"/>
    <tableColumn id="5" xr3:uid="{8ABEBF50-DB92-4A41-A851-D32FE7533B3D}" name="Costo total" dataDxfId="0">
      <calculatedColumnFormula>Tabla2[[#This Row],[Costo Unitario]]*Tabla2[[#This Row],[Cantidad a comprar]]</calculatedColumnFormula>
    </tableColumn>
    <tableColumn id="6" xr3:uid="{F949D735-9550-422E-AF76-B7B2D99A6284}" name="Link del produ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23899-15CA-4D62-ACA3-B7F2D19E1548}" name="Tabla3" displayName="Tabla3" ref="A1:F19" totalsRowShown="0">
  <autoFilter ref="A1:F19" xr:uid="{EDF23899-15CA-4D62-ACA3-B7F2D19E1548}"/>
  <tableColumns count="6">
    <tableColumn id="1" xr3:uid="{4767190B-7F0B-4DE7-8C88-C71020AEC6A9}" name="Nombre"/>
    <tableColumn id="2" xr3:uid="{32796E6B-B91A-4D0D-A328-6030AF5B77F2}" name="Edad"/>
    <tableColumn id="3" xr3:uid="{BAD71461-8B1F-41D9-A261-22102E8D7DC6}" name="Sexo"/>
    <tableColumn id="4" xr3:uid="{64249AE3-0B14-4489-9D95-B65B57C33D35}" name="Grado"/>
    <tableColumn id="5" xr3:uid="{CE187906-4ED6-476E-973F-00940A8184D6}" name="Calificación"/>
    <tableColumn id="6" xr3:uid="{DFBE9699-746B-4D41-B30B-4236BE47DF31}" name="Tipo de Evaluacio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60B0-0AEC-4BD0-A449-FCBB3B5CC1B2}">
  <dimension ref="A1:C4"/>
  <sheetViews>
    <sheetView workbookViewId="0">
      <selection activeCell="G9" sqref="G9"/>
    </sheetView>
  </sheetViews>
  <sheetFormatPr baseColWidth="10" defaultRowHeight="14.4" x14ac:dyDescent="0.3"/>
  <cols>
    <col min="2" max="2" width="20.77734375" style="1" customWidth="1"/>
  </cols>
  <sheetData>
    <row r="1" spans="1:3" x14ac:dyDescent="0.3">
      <c r="B1" s="6"/>
      <c r="C1" s="5"/>
    </row>
    <row r="2" spans="1:3" x14ac:dyDescent="0.3">
      <c r="A2" s="8"/>
      <c r="B2" s="9" t="s">
        <v>0</v>
      </c>
      <c r="C2" s="4"/>
    </row>
    <row r="3" spans="1:3" x14ac:dyDescent="0.3">
      <c r="A3" s="8"/>
      <c r="B3" s="7" t="s">
        <v>2</v>
      </c>
      <c r="C3" s="3"/>
    </row>
    <row r="4" spans="1:3" ht="28.2" customHeight="1" x14ac:dyDescent="0.3">
      <c r="A4" s="8"/>
      <c r="B4" s="10" t="s">
        <v>1</v>
      </c>
      <c r="C4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A938-768A-40CD-AC3E-F7BF1FFBE200}">
  <dimension ref="B3:G13"/>
  <sheetViews>
    <sheetView workbookViewId="0">
      <selection activeCell="B13" sqref="B13"/>
    </sheetView>
  </sheetViews>
  <sheetFormatPr baseColWidth="10" defaultRowHeight="14.4" x14ac:dyDescent="0.3"/>
  <cols>
    <col min="2" max="2" width="22.109375" customWidth="1"/>
    <col min="3" max="3" width="17.5546875" customWidth="1"/>
    <col min="4" max="4" width="19.6640625" customWidth="1"/>
    <col min="5" max="5" width="20.33203125" customWidth="1"/>
    <col min="6" max="6" width="24.109375" customWidth="1"/>
    <col min="7" max="7" width="18.33203125" customWidth="1"/>
  </cols>
  <sheetData>
    <row r="3" spans="2:7" ht="15" thickBot="1" x14ac:dyDescent="0.35"/>
    <row r="4" spans="2:7" ht="16.2" thickBot="1" x14ac:dyDescent="0.35">
      <c r="B4" s="11" t="s">
        <v>3</v>
      </c>
      <c r="C4" s="12" t="s">
        <v>4</v>
      </c>
      <c r="D4" s="13" t="s">
        <v>5</v>
      </c>
      <c r="E4" s="12" t="s">
        <v>6</v>
      </c>
      <c r="F4" s="13" t="s">
        <v>7</v>
      </c>
      <c r="G4" s="12" t="s">
        <v>8</v>
      </c>
    </row>
    <row r="5" spans="2:7" ht="16.2" thickBot="1" x14ac:dyDescent="0.35">
      <c r="B5" s="14" t="s">
        <v>17</v>
      </c>
      <c r="C5" s="15"/>
      <c r="D5" s="15" t="s">
        <v>18</v>
      </c>
      <c r="E5" s="15" t="s">
        <v>19</v>
      </c>
      <c r="F5" s="15" t="s">
        <v>18</v>
      </c>
      <c r="G5" s="15" t="s">
        <v>18</v>
      </c>
    </row>
    <row r="6" spans="2:7" ht="16.2" thickBot="1" x14ac:dyDescent="0.35">
      <c r="B6" s="16" t="s">
        <v>9</v>
      </c>
      <c r="C6" s="15"/>
      <c r="D6" s="17"/>
      <c r="E6" s="17" t="s">
        <v>23</v>
      </c>
      <c r="F6" s="17" t="s">
        <v>23</v>
      </c>
      <c r="G6" s="17"/>
    </row>
    <row r="7" spans="2:7" ht="16.2" thickBot="1" x14ac:dyDescent="0.35">
      <c r="B7" s="16" t="s">
        <v>10</v>
      </c>
      <c r="C7" s="15"/>
      <c r="D7" s="18"/>
      <c r="E7" s="18"/>
      <c r="F7" s="18"/>
      <c r="G7" s="18"/>
    </row>
    <row r="8" spans="2:7" ht="16.2" thickBot="1" x14ac:dyDescent="0.35">
      <c r="B8" s="16" t="s">
        <v>11</v>
      </c>
      <c r="C8" s="15"/>
      <c r="D8" s="17"/>
      <c r="E8" s="17"/>
      <c r="F8" s="17"/>
      <c r="G8" s="18"/>
    </row>
    <row r="9" spans="2:7" ht="16.2" thickBot="1" x14ac:dyDescent="0.35">
      <c r="B9" s="16" t="s">
        <v>12</v>
      </c>
      <c r="C9" s="15" t="s">
        <v>22</v>
      </c>
      <c r="D9" s="18"/>
      <c r="E9" s="18"/>
      <c r="F9" s="18"/>
      <c r="G9" s="15" t="s">
        <v>22</v>
      </c>
    </row>
    <row r="10" spans="2:7" ht="15.6" x14ac:dyDescent="0.3">
      <c r="B10" s="16" t="s">
        <v>13</v>
      </c>
      <c r="C10" s="15" t="s">
        <v>21</v>
      </c>
      <c r="D10" s="18"/>
      <c r="E10" s="15" t="s">
        <v>21</v>
      </c>
      <c r="F10" s="15" t="s">
        <v>21</v>
      </c>
      <c r="G10" s="18"/>
    </row>
    <row r="11" spans="2:7" ht="15.6" x14ac:dyDescent="0.3">
      <c r="B11" s="16" t="s">
        <v>14</v>
      </c>
      <c r="C11" s="19"/>
      <c r="D11" s="19"/>
      <c r="E11" s="19"/>
      <c r="F11" s="19"/>
      <c r="G11" s="18"/>
    </row>
    <row r="12" spans="2:7" ht="15.6" x14ac:dyDescent="0.3">
      <c r="B12" s="16" t="s">
        <v>15</v>
      </c>
      <c r="C12" s="18"/>
      <c r="D12" s="18"/>
      <c r="E12" s="18" t="s">
        <v>20</v>
      </c>
      <c r="F12" s="18" t="s">
        <v>20</v>
      </c>
      <c r="G12" s="18" t="s">
        <v>20</v>
      </c>
    </row>
    <row r="13" spans="2:7" ht="15.6" x14ac:dyDescent="0.3">
      <c r="B13" s="16" t="s">
        <v>16</v>
      </c>
      <c r="C13" s="18"/>
      <c r="D13" s="18"/>
      <c r="E13" s="18"/>
      <c r="F13" s="18"/>
      <c r="G13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382B-D9DF-47B6-9C67-7A9D71071FA9}">
  <dimension ref="A1:C5"/>
  <sheetViews>
    <sheetView workbookViewId="0">
      <selection activeCell="C5" sqref="C5"/>
    </sheetView>
  </sheetViews>
  <sheetFormatPr baseColWidth="10" defaultRowHeight="14.4" x14ac:dyDescent="0.3"/>
  <cols>
    <col min="3" max="3" width="14.77734375" customWidth="1"/>
  </cols>
  <sheetData>
    <row r="1" spans="1:3" x14ac:dyDescent="0.3">
      <c r="A1" s="20" t="s">
        <v>24</v>
      </c>
      <c r="B1" s="20" t="s">
        <v>25</v>
      </c>
      <c r="C1" s="20" t="s">
        <v>26</v>
      </c>
    </row>
    <row r="2" spans="1:3" x14ac:dyDescent="0.3">
      <c r="A2" t="s">
        <v>177</v>
      </c>
      <c r="B2" t="s">
        <v>175</v>
      </c>
      <c r="C2" s="45">
        <v>5000</v>
      </c>
    </row>
    <row r="3" spans="1:3" x14ac:dyDescent="0.3">
      <c r="A3" t="s">
        <v>176</v>
      </c>
      <c r="B3" t="s">
        <v>28</v>
      </c>
      <c r="C3" s="45">
        <v>1000</v>
      </c>
    </row>
    <row r="4" spans="1:3" x14ac:dyDescent="0.3">
      <c r="A4" t="s">
        <v>178</v>
      </c>
      <c r="B4" t="s">
        <v>30</v>
      </c>
      <c r="C4" s="45">
        <v>10000</v>
      </c>
    </row>
    <row r="5" spans="1:3" x14ac:dyDescent="0.3">
      <c r="A5" t="s">
        <v>72</v>
      </c>
      <c r="B5" t="s">
        <v>29</v>
      </c>
      <c r="C5" s="45">
        <v>20000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E113-B75F-410A-B477-C2EF6298D613}">
  <dimension ref="C4:H15"/>
  <sheetViews>
    <sheetView topLeftCell="D1" workbookViewId="0">
      <selection activeCell="H5" sqref="H5"/>
    </sheetView>
  </sheetViews>
  <sheetFormatPr baseColWidth="10" defaultRowHeight="14.4" x14ac:dyDescent="0.3"/>
  <cols>
    <col min="3" max="3" width="23.109375" customWidth="1"/>
    <col min="4" max="4" width="70" customWidth="1"/>
    <col min="5" max="5" width="22.6640625" customWidth="1"/>
    <col min="6" max="6" width="22.77734375" customWidth="1"/>
    <col min="7" max="7" width="22.44140625" customWidth="1"/>
    <col min="8" max="8" width="22" customWidth="1"/>
  </cols>
  <sheetData>
    <row r="4" spans="3:8" x14ac:dyDescent="0.3">
      <c r="C4" t="s">
        <v>31</v>
      </c>
      <c r="D4" t="s">
        <v>32</v>
      </c>
      <c r="E4" t="s">
        <v>33</v>
      </c>
      <c r="F4" t="s">
        <v>190</v>
      </c>
      <c r="G4" t="s">
        <v>34</v>
      </c>
      <c r="H4" t="s">
        <v>35</v>
      </c>
    </row>
    <row r="5" spans="3:8" ht="28.8" x14ac:dyDescent="0.3">
      <c r="C5" t="s">
        <v>36</v>
      </c>
      <c r="D5" s="23" t="s">
        <v>179</v>
      </c>
      <c r="E5">
        <v>30</v>
      </c>
      <c r="F5" s="45">
        <v>0.5</v>
      </c>
      <c r="G5" s="46">
        <f>Tabla2[[#This Row],[Costo Unitario]]*Tabla2[[#This Row],[Cantidad a comprar]]</f>
        <v>15</v>
      </c>
    </row>
    <row r="6" spans="3:8" ht="28.8" x14ac:dyDescent="0.3">
      <c r="C6" t="s">
        <v>37</v>
      </c>
      <c r="D6" s="23" t="s">
        <v>180</v>
      </c>
      <c r="E6">
        <v>15</v>
      </c>
      <c r="F6" s="45">
        <v>3</v>
      </c>
      <c r="G6" s="46">
        <f>Tabla2[[#This Row],[Costo Unitario]]*Tabla2[[#This Row],[Cantidad a comprar]]</f>
        <v>45</v>
      </c>
    </row>
    <row r="7" spans="3:8" ht="28.8" x14ac:dyDescent="0.3">
      <c r="C7" t="s">
        <v>38</v>
      </c>
      <c r="D7" s="23" t="s">
        <v>181</v>
      </c>
      <c r="E7">
        <v>15</v>
      </c>
      <c r="F7" s="45">
        <v>4.9000000000000004</v>
      </c>
      <c r="G7" s="46">
        <f>Tabla2[[#This Row],[Costo Unitario]]*Tabla2[[#This Row],[Cantidad a comprar]]</f>
        <v>73.5</v>
      </c>
    </row>
    <row r="8" spans="3:8" ht="28.8" x14ac:dyDescent="0.3">
      <c r="C8" t="s">
        <v>39</v>
      </c>
      <c r="D8" s="23" t="s">
        <v>182</v>
      </c>
      <c r="E8">
        <v>10</v>
      </c>
      <c r="F8" s="45">
        <v>1.5</v>
      </c>
      <c r="G8" s="46">
        <f>Tabla2[[#This Row],[Costo Unitario]]*Tabla2[[#This Row],[Cantidad a comprar]]</f>
        <v>15</v>
      </c>
    </row>
    <row r="9" spans="3:8" ht="28.8" x14ac:dyDescent="0.3">
      <c r="C9" t="s">
        <v>40</v>
      </c>
      <c r="D9" s="23" t="s">
        <v>183</v>
      </c>
      <c r="E9">
        <v>10</v>
      </c>
      <c r="F9" s="45">
        <v>2</v>
      </c>
      <c r="G9" s="46">
        <f>Tabla2[[#This Row],[Costo Unitario]]*Tabla2[[#This Row],[Cantidad a comprar]]</f>
        <v>20</v>
      </c>
    </row>
    <row r="10" spans="3:8" ht="28.8" x14ac:dyDescent="0.3">
      <c r="C10" t="s">
        <v>42</v>
      </c>
      <c r="D10" s="23" t="s">
        <v>184</v>
      </c>
      <c r="E10">
        <v>15</v>
      </c>
      <c r="F10" s="45">
        <v>1.56</v>
      </c>
      <c r="G10" s="46">
        <f>Tabla2[[#This Row],[Costo Unitario]]*Tabla2[[#This Row],[Cantidad a comprar]]</f>
        <v>23.400000000000002</v>
      </c>
    </row>
    <row r="11" spans="3:8" ht="28.8" x14ac:dyDescent="0.3">
      <c r="C11" t="s">
        <v>41</v>
      </c>
      <c r="D11" s="23" t="s">
        <v>185</v>
      </c>
      <c r="E11">
        <v>5</v>
      </c>
      <c r="F11" s="45">
        <v>10.15</v>
      </c>
      <c r="G11" s="46">
        <f>Tabla2[[#This Row],[Costo Unitario]]*Tabla2[[#This Row],[Cantidad a comprar]]</f>
        <v>50.75</v>
      </c>
    </row>
    <row r="12" spans="3:8" ht="28.8" x14ac:dyDescent="0.3">
      <c r="C12" t="s">
        <v>43</v>
      </c>
      <c r="D12" s="23" t="s">
        <v>186</v>
      </c>
      <c r="E12">
        <v>5</v>
      </c>
      <c r="F12" s="45">
        <v>7</v>
      </c>
      <c r="G12" s="46">
        <f>Tabla2[[#This Row],[Costo Unitario]]*Tabla2[[#This Row],[Cantidad a comprar]]</f>
        <v>35</v>
      </c>
    </row>
    <row r="13" spans="3:8" ht="28.8" x14ac:dyDescent="0.3">
      <c r="C13" t="s">
        <v>44</v>
      </c>
      <c r="D13" s="23" t="s">
        <v>187</v>
      </c>
      <c r="E13">
        <v>10</v>
      </c>
      <c r="F13" s="45">
        <v>0.69</v>
      </c>
      <c r="G13" s="46">
        <f>Tabla2[[#This Row],[Costo Unitario]]*Tabla2[[#This Row],[Cantidad a comprar]]</f>
        <v>6.8999999999999995</v>
      </c>
    </row>
    <row r="14" spans="3:8" ht="28.8" x14ac:dyDescent="0.3">
      <c r="C14" s="23" t="s">
        <v>189</v>
      </c>
      <c r="D14" s="23" t="s">
        <v>188</v>
      </c>
      <c r="E14">
        <v>5</v>
      </c>
      <c r="F14" s="45">
        <v>8</v>
      </c>
      <c r="G14" s="46">
        <f>Tabla2[[#This Row],[Costo Unitario]]*Tabla2[[#This Row],[Cantidad a comprar]]</f>
        <v>40</v>
      </c>
    </row>
    <row r="15" spans="3:8" x14ac:dyDescent="0.3">
      <c r="G15" s="46">
        <f>Tabla2[[#This Row],[Costo Unitario]]*Tabla2[[#This Row],[Cantidad a comprar]]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3CFF-5CF6-4E15-A86B-1D19C949F61E}">
  <dimension ref="A1:J19"/>
  <sheetViews>
    <sheetView topLeftCell="B1" workbookViewId="0">
      <selection activeCell="F27" sqref="F27"/>
    </sheetView>
  </sheetViews>
  <sheetFormatPr baseColWidth="10" defaultRowHeight="14.4" x14ac:dyDescent="0.3"/>
  <cols>
    <col min="5" max="7" width="11.5546875" style="48"/>
  </cols>
  <sheetData>
    <row r="1" spans="1:10" ht="33" customHeight="1" x14ac:dyDescent="0.3">
      <c r="A1" s="73" t="s">
        <v>45</v>
      </c>
      <c r="B1" s="74"/>
      <c r="C1" s="75"/>
      <c r="E1" s="50" t="s">
        <v>192</v>
      </c>
      <c r="F1" s="50" t="s">
        <v>191</v>
      </c>
      <c r="G1" s="50" t="s">
        <v>193</v>
      </c>
    </row>
    <row r="2" spans="1:10" x14ac:dyDescent="0.3">
      <c r="A2" s="21">
        <v>5</v>
      </c>
      <c r="B2" s="21">
        <v>5</v>
      </c>
      <c r="C2" s="21">
        <f>A2*B2</f>
        <v>25</v>
      </c>
      <c r="E2" s="49">
        <v>14</v>
      </c>
      <c r="F2" s="51" t="str">
        <f>DEC2BIN(E2)</f>
        <v>1110</v>
      </c>
      <c r="G2" s="51" t="str">
        <f>DEC2HEX(E2)</f>
        <v>E</v>
      </c>
    </row>
    <row r="3" spans="1:10" x14ac:dyDescent="0.3">
      <c r="A3" s="21">
        <v>2</v>
      </c>
      <c r="B3" s="21">
        <v>4</v>
      </c>
      <c r="C3" s="21">
        <f t="shared" ref="C3:C19" si="0">A3*B3</f>
        <v>8</v>
      </c>
      <c r="E3" s="49">
        <v>4</v>
      </c>
      <c r="F3" s="51" t="str">
        <f>DEC2BIN(E3)</f>
        <v>100</v>
      </c>
      <c r="G3" s="51" t="str">
        <f t="shared" ref="G3:G5" si="1">DEC2HEX(E3)</f>
        <v>4</v>
      </c>
    </row>
    <row r="4" spans="1:10" x14ac:dyDescent="0.3">
      <c r="A4" s="21">
        <v>3</v>
      </c>
      <c r="B4" s="21">
        <v>4</v>
      </c>
      <c r="C4" s="21">
        <f t="shared" si="0"/>
        <v>12</v>
      </c>
      <c r="E4" s="49">
        <v>24</v>
      </c>
      <c r="F4" s="51" t="str">
        <f>DEC2BIN(E4)</f>
        <v>11000</v>
      </c>
      <c r="G4" s="51" t="str">
        <f t="shared" si="1"/>
        <v>18</v>
      </c>
    </row>
    <row r="5" spans="1:10" x14ac:dyDescent="0.3">
      <c r="A5" s="21">
        <v>45</v>
      </c>
      <c r="B5" s="21">
        <v>9</v>
      </c>
      <c r="C5" s="21">
        <f t="shared" si="0"/>
        <v>405</v>
      </c>
      <c r="E5" s="49">
        <v>100</v>
      </c>
      <c r="F5" s="51" t="str">
        <f>DEC2BIN(E5)</f>
        <v>1100100</v>
      </c>
      <c r="G5" s="51" t="str">
        <f t="shared" si="1"/>
        <v>64</v>
      </c>
    </row>
    <row r="6" spans="1:10" x14ac:dyDescent="0.3">
      <c r="A6" s="21">
        <v>14</v>
      </c>
      <c r="B6" s="21">
        <v>6</v>
      </c>
      <c r="C6" s="21">
        <f t="shared" si="0"/>
        <v>84</v>
      </c>
    </row>
    <row r="7" spans="1:10" x14ac:dyDescent="0.3">
      <c r="A7" s="21">
        <v>57</v>
      </c>
      <c r="B7" s="21">
        <v>31</v>
      </c>
      <c r="C7" s="21">
        <f t="shared" si="0"/>
        <v>1767</v>
      </c>
    </row>
    <row r="8" spans="1:10" x14ac:dyDescent="0.3">
      <c r="A8" s="21">
        <v>6</v>
      </c>
      <c r="B8" s="21">
        <v>48</v>
      </c>
      <c r="C8" s="21">
        <f t="shared" si="0"/>
        <v>288</v>
      </c>
      <c r="E8" s="52" t="s">
        <v>194</v>
      </c>
      <c r="F8" s="52" t="s">
        <v>195</v>
      </c>
      <c r="G8" s="52" t="s">
        <v>196</v>
      </c>
      <c r="H8" s="52" t="s">
        <v>197</v>
      </c>
      <c r="I8" s="52" t="s">
        <v>198</v>
      </c>
      <c r="J8" s="52" t="s">
        <v>199</v>
      </c>
    </row>
    <row r="9" spans="1:10" x14ac:dyDescent="0.3">
      <c r="A9" s="21">
        <v>47</v>
      </c>
      <c r="B9" s="21">
        <v>5425</v>
      </c>
      <c r="C9" s="21">
        <f t="shared" si="0"/>
        <v>254975</v>
      </c>
      <c r="E9" s="53">
        <v>32</v>
      </c>
      <c r="F9" s="53">
        <v>16</v>
      </c>
      <c r="G9" s="53">
        <v>8</v>
      </c>
      <c r="H9" s="53">
        <v>4</v>
      </c>
      <c r="I9" s="53">
        <v>2</v>
      </c>
      <c r="J9" s="53">
        <v>1</v>
      </c>
    </row>
    <row r="10" spans="1:10" x14ac:dyDescent="0.3">
      <c r="A10" s="21">
        <v>222142</v>
      </c>
      <c r="B10" s="21">
        <v>525252</v>
      </c>
      <c r="C10" s="21">
        <f t="shared" si="0"/>
        <v>116680529784</v>
      </c>
    </row>
    <row r="11" spans="1:10" x14ac:dyDescent="0.3">
      <c r="A11" s="21">
        <v>5445</v>
      </c>
      <c r="B11" s="21">
        <v>787878</v>
      </c>
      <c r="C11" s="21">
        <f t="shared" si="0"/>
        <v>4289995710</v>
      </c>
      <c r="E11" s="47" t="s">
        <v>200</v>
      </c>
      <c r="F11" s="47" t="s">
        <v>206</v>
      </c>
      <c r="G11" s="47" t="s">
        <v>26</v>
      </c>
    </row>
    <row r="12" spans="1:10" x14ac:dyDescent="0.3">
      <c r="A12" s="21">
        <v>78</v>
      </c>
      <c r="B12" s="21">
        <v>32</v>
      </c>
      <c r="C12" s="21">
        <f t="shared" si="0"/>
        <v>2496</v>
      </c>
      <c r="E12" s="47" t="s">
        <v>201</v>
      </c>
      <c r="F12" s="47">
        <v>150</v>
      </c>
      <c r="G12" s="47"/>
    </row>
    <row r="13" spans="1:10" x14ac:dyDescent="0.3">
      <c r="A13" s="21">
        <v>789</v>
      </c>
      <c r="B13" s="21">
        <v>159</v>
      </c>
      <c r="C13" s="21">
        <f t="shared" si="0"/>
        <v>125451</v>
      </c>
      <c r="E13" s="47" t="s">
        <v>202</v>
      </c>
      <c r="F13" s="47">
        <v>341</v>
      </c>
      <c r="G13" s="47"/>
    </row>
    <row r="14" spans="1:10" x14ac:dyDescent="0.3">
      <c r="A14" s="21">
        <v>12562</v>
      </c>
      <c r="B14" s="21">
        <v>125662</v>
      </c>
      <c r="C14" s="21">
        <f t="shared" si="0"/>
        <v>1578566044</v>
      </c>
      <c r="E14" s="47" t="s">
        <v>203</v>
      </c>
      <c r="F14" s="47">
        <v>124</v>
      </c>
      <c r="G14" s="47"/>
    </row>
    <row r="15" spans="1:10" x14ac:dyDescent="0.3">
      <c r="A15" s="21">
        <v>741258</v>
      </c>
      <c r="B15" s="21">
        <v>25863.200000000001</v>
      </c>
      <c r="C15" s="21">
        <f t="shared" si="0"/>
        <v>19171303905.600002</v>
      </c>
      <c r="E15" s="47" t="s">
        <v>204</v>
      </c>
      <c r="F15" s="47">
        <v>180</v>
      </c>
      <c r="G15" s="47"/>
    </row>
    <row r="16" spans="1:10" x14ac:dyDescent="0.3">
      <c r="A16" s="21">
        <v>789621452</v>
      </c>
      <c r="B16" s="21">
        <v>520145201</v>
      </c>
      <c r="C16" s="21">
        <f t="shared" si="0"/>
        <v>4.1071780886445184E+17</v>
      </c>
      <c r="E16" s="47" t="s">
        <v>205</v>
      </c>
      <c r="F16" s="47">
        <v>500</v>
      </c>
      <c r="G16" s="47"/>
    </row>
    <row r="17" spans="1:7" x14ac:dyDescent="0.3">
      <c r="A17" s="21">
        <v>45</v>
      </c>
      <c r="B17" s="21">
        <v>7896951</v>
      </c>
      <c r="C17" s="21">
        <f t="shared" si="0"/>
        <v>355362795</v>
      </c>
      <c r="E17" s="47" t="s">
        <v>207</v>
      </c>
      <c r="F17" s="47">
        <v>1295</v>
      </c>
      <c r="G17" s="47">
        <v>3000</v>
      </c>
    </row>
    <row r="18" spans="1:7" x14ac:dyDescent="0.3">
      <c r="A18" s="21">
        <v>7888</v>
      </c>
      <c r="B18" s="21">
        <v>545454</v>
      </c>
      <c r="C18" s="21">
        <f t="shared" si="0"/>
        <v>4302541152</v>
      </c>
      <c r="E18" s="47" t="s">
        <v>208</v>
      </c>
      <c r="F18" s="54"/>
      <c r="G18" s="55"/>
    </row>
    <row r="19" spans="1:7" x14ac:dyDescent="0.3">
      <c r="A19" s="21">
        <v>74</v>
      </c>
      <c r="B19" s="21">
        <v>5454</v>
      </c>
      <c r="C19" s="21">
        <f t="shared" si="0"/>
        <v>403596</v>
      </c>
    </row>
  </sheetData>
  <mergeCells count="1">
    <mergeCell ref="A1:C1"/>
  </mergeCells>
  <phoneticPr fontId="10" type="noConversion"/>
  <conditionalFormatting sqref="C2:C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0837-D353-4232-9B7E-1335FD68D176}">
  <dimension ref="A1:D21"/>
  <sheetViews>
    <sheetView workbookViewId="0">
      <selection activeCell="B25" sqref="B25"/>
    </sheetView>
  </sheetViews>
  <sheetFormatPr baseColWidth="10" defaultRowHeight="14.4" x14ac:dyDescent="0.3"/>
  <cols>
    <col min="1" max="2" width="11.5546875" style="48"/>
  </cols>
  <sheetData>
    <row r="1" spans="1:4" x14ac:dyDescent="0.3">
      <c r="A1" s="47" t="s">
        <v>209</v>
      </c>
      <c r="B1" s="55" t="s">
        <v>210</v>
      </c>
      <c r="C1" s="47" t="s">
        <v>212</v>
      </c>
    </row>
    <row r="2" spans="1:4" x14ac:dyDescent="0.3">
      <c r="A2" s="59">
        <v>-5</v>
      </c>
      <c r="B2" s="59">
        <f>3*A2-2</f>
        <v>-17</v>
      </c>
      <c r="C2" s="56">
        <f>A2*A2+1</f>
        <v>26</v>
      </c>
      <c r="D2" t="s">
        <v>211</v>
      </c>
    </row>
    <row r="3" spans="1:4" x14ac:dyDescent="0.3">
      <c r="A3" s="60">
        <v>-4</v>
      </c>
      <c r="B3" s="60">
        <f t="shared" ref="B3:B12" si="0">3*A3-2</f>
        <v>-14</v>
      </c>
      <c r="C3" s="57">
        <f t="shared" ref="C3:C12" si="1">A3*A3+1</f>
        <v>17</v>
      </c>
      <c r="D3" t="s">
        <v>213</v>
      </c>
    </row>
    <row r="4" spans="1:4" x14ac:dyDescent="0.3">
      <c r="A4" s="60">
        <v>-3</v>
      </c>
      <c r="B4" s="60">
        <f t="shared" si="0"/>
        <v>-11</v>
      </c>
      <c r="C4" s="57">
        <f t="shared" si="1"/>
        <v>10</v>
      </c>
    </row>
    <row r="5" spans="1:4" x14ac:dyDescent="0.3">
      <c r="A5" s="60">
        <v>-2</v>
      </c>
      <c r="B5" s="60">
        <f t="shared" si="0"/>
        <v>-8</v>
      </c>
      <c r="C5" s="57">
        <f t="shared" si="1"/>
        <v>5</v>
      </c>
    </row>
    <row r="6" spans="1:4" x14ac:dyDescent="0.3">
      <c r="A6" s="60">
        <v>-1</v>
      </c>
      <c r="B6" s="60">
        <f t="shared" si="0"/>
        <v>-5</v>
      </c>
      <c r="C6" s="57">
        <f t="shared" si="1"/>
        <v>2</v>
      </c>
    </row>
    <row r="7" spans="1:4" x14ac:dyDescent="0.3">
      <c r="A7" s="60">
        <v>0</v>
      </c>
      <c r="B7" s="60">
        <f t="shared" si="0"/>
        <v>-2</v>
      </c>
      <c r="C7" s="57">
        <f t="shared" si="1"/>
        <v>1</v>
      </c>
    </row>
    <row r="8" spans="1:4" x14ac:dyDescent="0.3">
      <c r="A8" s="60">
        <v>1</v>
      </c>
      <c r="B8" s="60">
        <f t="shared" si="0"/>
        <v>1</v>
      </c>
      <c r="C8" s="57">
        <f t="shared" si="1"/>
        <v>2</v>
      </c>
    </row>
    <row r="9" spans="1:4" x14ac:dyDescent="0.3">
      <c r="A9" s="60">
        <v>2</v>
      </c>
      <c r="B9" s="60">
        <f t="shared" si="0"/>
        <v>4</v>
      </c>
      <c r="C9" s="57">
        <f t="shared" si="1"/>
        <v>5</v>
      </c>
    </row>
    <row r="10" spans="1:4" x14ac:dyDescent="0.3">
      <c r="A10" s="60">
        <v>3</v>
      </c>
      <c r="B10" s="60">
        <f t="shared" si="0"/>
        <v>7</v>
      </c>
      <c r="C10" s="57">
        <f t="shared" si="1"/>
        <v>10</v>
      </c>
    </row>
    <row r="11" spans="1:4" x14ac:dyDescent="0.3">
      <c r="A11" s="60">
        <v>4</v>
      </c>
      <c r="B11" s="60">
        <f t="shared" si="0"/>
        <v>10</v>
      </c>
      <c r="C11" s="57">
        <f t="shared" si="1"/>
        <v>17</v>
      </c>
    </row>
    <row r="12" spans="1:4" x14ac:dyDescent="0.3">
      <c r="A12" s="61">
        <v>5</v>
      </c>
      <c r="B12" s="61">
        <f t="shared" si="0"/>
        <v>13</v>
      </c>
      <c r="C12" s="58">
        <f t="shared" si="1"/>
        <v>26</v>
      </c>
    </row>
    <row r="16" spans="1:4" x14ac:dyDescent="0.3">
      <c r="A16" s="47" t="s">
        <v>214</v>
      </c>
      <c r="B16" s="47" t="s">
        <v>215</v>
      </c>
      <c r="C16" s="62" t="s">
        <v>216</v>
      </c>
    </row>
    <row r="17" spans="1:3" x14ac:dyDescent="0.3">
      <c r="A17" s="59" t="s">
        <v>217</v>
      </c>
      <c r="B17" s="59">
        <v>12</v>
      </c>
      <c r="C17" s="56">
        <f>B17*100/217</f>
        <v>5.5299539170506913</v>
      </c>
    </row>
    <row r="18" spans="1:3" x14ac:dyDescent="0.3">
      <c r="A18" s="60" t="s">
        <v>218</v>
      </c>
      <c r="B18" s="60">
        <v>63</v>
      </c>
      <c r="C18" s="57">
        <f t="shared" ref="C18:C20" si="2">B18*100/217</f>
        <v>29.032258064516128</v>
      </c>
    </row>
    <row r="19" spans="1:3" x14ac:dyDescent="0.3">
      <c r="A19" s="60" t="s">
        <v>219</v>
      </c>
      <c r="B19" s="60">
        <v>45</v>
      </c>
      <c r="C19" s="57">
        <f t="shared" si="2"/>
        <v>20.737327188940093</v>
      </c>
    </row>
    <row r="20" spans="1:3" x14ac:dyDescent="0.3">
      <c r="A20" s="61" t="s">
        <v>220</v>
      </c>
      <c r="B20" s="61">
        <v>97</v>
      </c>
      <c r="C20" s="58">
        <f t="shared" si="2"/>
        <v>44.700460829493089</v>
      </c>
    </row>
    <row r="21" spans="1:3" x14ac:dyDescent="0.3">
      <c r="B21" s="47">
        <f>SUM(B17:B20)</f>
        <v>217</v>
      </c>
      <c r="C21" s="62">
        <f>B21*100/217</f>
        <v>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1814-3F52-438D-B911-CB6B0FB2B457}">
  <dimension ref="A1:C7"/>
  <sheetViews>
    <sheetView workbookViewId="0">
      <selection activeCell="E6" sqref="E6"/>
    </sheetView>
  </sheetViews>
  <sheetFormatPr baseColWidth="10" defaultRowHeight="14.4" x14ac:dyDescent="0.3"/>
  <cols>
    <col min="1" max="1" width="15.6640625" customWidth="1"/>
    <col min="2" max="2" width="17.109375" customWidth="1"/>
    <col min="3" max="3" width="13.6640625" customWidth="1"/>
  </cols>
  <sheetData>
    <row r="1" spans="1:3" x14ac:dyDescent="0.3">
      <c r="A1" s="62" t="s">
        <v>243</v>
      </c>
      <c r="B1" s="62" t="s">
        <v>242</v>
      </c>
      <c r="C1" s="62" t="s">
        <v>241</v>
      </c>
    </row>
    <row r="2" spans="1:3" x14ac:dyDescent="0.3">
      <c r="A2" s="62">
        <v>17</v>
      </c>
      <c r="B2" s="62">
        <v>6</v>
      </c>
      <c r="C2" s="62">
        <f>B2*100/35</f>
        <v>17.142857142857142</v>
      </c>
    </row>
    <row r="3" spans="1:3" x14ac:dyDescent="0.3">
      <c r="A3" s="62">
        <v>18</v>
      </c>
      <c r="B3" s="62">
        <v>17</v>
      </c>
      <c r="C3" s="62">
        <f>B3*100/35</f>
        <v>48.571428571428569</v>
      </c>
    </row>
    <row r="4" spans="1:3" x14ac:dyDescent="0.3">
      <c r="A4" s="62">
        <v>19</v>
      </c>
      <c r="B4" s="62">
        <v>8</v>
      </c>
      <c r="C4" s="62">
        <f>B4*100/35</f>
        <v>22.857142857142858</v>
      </c>
    </row>
    <row r="5" spans="1:3" x14ac:dyDescent="0.3">
      <c r="A5" s="62">
        <v>20</v>
      </c>
      <c r="B5" s="62">
        <v>3</v>
      </c>
      <c r="C5" s="62">
        <f>B5*100/35</f>
        <v>8.5714285714285712</v>
      </c>
    </row>
    <row r="6" spans="1:3" x14ac:dyDescent="0.3">
      <c r="A6" s="62">
        <v>21</v>
      </c>
      <c r="B6" s="62">
        <v>1</v>
      </c>
      <c r="C6" s="62">
        <f>B6*100/35</f>
        <v>2.8571428571428572</v>
      </c>
    </row>
    <row r="7" spans="1:3" x14ac:dyDescent="0.3">
      <c r="A7" s="62" t="s">
        <v>94</v>
      </c>
      <c r="B7" s="62">
        <f>SUM(B2:B6)</f>
        <v>35</v>
      </c>
      <c r="C7" s="62">
        <f>B7*100/35</f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D186-7F6D-4223-8946-8B7667DA2AA7}">
  <dimension ref="A1:AJ45"/>
  <sheetViews>
    <sheetView workbookViewId="0">
      <selection activeCell="AH7" sqref="AH7"/>
    </sheetView>
  </sheetViews>
  <sheetFormatPr baseColWidth="10" defaultRowHeight="14.4" x14ac:dyDescent="0.3"/>
  <cols>
    <col min="2" max="2" width="23.21875" customWidth="1"/>
    <col min="5" max="5" width="21.33203125" customWidth="1"/>
    <col min="6" max="6" width="21.44140625" customWidth="1"/>
    <col min="9" max="9" width="17.21875" customWidth="1"/>
    <col min="12" max="12" width="17.88671875" customWidth="1"/>
    <col min="13" max="13" width="20" customWidth="1"/>
    <col min="15" max="15" width="17.33203125" customWidth="1"/>
    <col min="16" max="16" width="18.44140625" customWidth="1"/>
    <col min="19" max="19" width="18.44140625" customWidth="1"/>
    <col min="20" max="20" width="20.88671875" customWidth="1"/>
    <col min="21" max="21" width="18.33203125" customWidth="1"/>
    <col min="22" max="22" width="19.6640625" customWidth="1"/>
    <col min="23" max="23" width="14.88671875" customWidth="1"/>
    <col min="26" max="27" width="19.6640625" customWidth="1"/>
    <col min="29" max="29" width="19.77734375" customWidth="1"/>
    <col min="30" max="30" width="21.109375" customWidth="1"/>
    <col min="32" max="32" width="15.5546875" customWidth="1"/>
    <col min="33" max="33" width="17.77734375" customWidth="1"/>
    <col min="35" max="35" width="18" customWidth="1"/>
    <col min="36" max="36" width="20.109375" customWidth="1"/>
  </cols>
  <sheetData>
    <row r="1" spans="1:36" ht="15.6" x14ac:dyDescent="0.3">
      <c r="A1" s="112" t="s">
        <v>247</v>
      </c>
      <c r="B1" s="112" t="s">
        <v>248</v>
      </c>
      <c r="E1" s="111" t="s">
        <v>247</v>
      </c>
      <c r="F1" s="111" t="s">
        <v>246</v>
      </c>
      <c r="L1" s="110" t="s">
        <v>247</v>
      </c>
      <c r="M1" s="110" t="s">
        <v>246</v>
      </c>
      <c r="S1" s="109" t="s">
        <v>247</v>
      </c>
      <c r="T1" s="109" t="s">
        <v>246</v>
      </c>
      <c r="Z1" s="108" t="s">
        <v>247</v>
      </c>
      <c r="AA1" s="108" t="s">
        <v>246</v>
      </c>
      <c r="AF1" s="107" t="s">
        <v>247</v>
      </c>
      <c r="AG1" s="107" t="s">
        <v>246</v>
      </c>
    </row>
    <row r="2" spans="1:36" ht="15.6" x14ac:dyDescent="0.3">
      <c r="A2" s="106">
        <v>0</v>
      </c>
      <c r="B2" s="90">
        <v>0.02</v>
      </c>
      <c r="E2" s="105">
        <v>0</v>
      </c>
      <c r="F2" s="105">
        <f>H$3*(1-EXP(-E2/I$3))</f>
        <v>0</v>
      </c>
      <c r="H2" s="104" t="s">
        <v>245</v>
      </c>
      <c r="I2" s="104" t="s">
        <v>244</v>
      </c>
      <c r="L2" s="103">
        <v>0</v>
      </c>
      <c r="M2" s="103">
        <f>O$3*(1-EXP(-L2/P$3))</f>
        <v>0</v>
      </c>
      <c r="O2" s="102" t="s">
        <v>245</v>
      </c>
      <c r="P2" s="102" t="s">
        <v>244</v>
      </c>
      <c r="S2" s="101">
        <v>0</v>
      </c>
      <c r="T2" s="101">
        <f>V$3*(1-EXP(-S2/W$3))</f>
        <v>0</v>
      </c>
      <c r="V2" s="100" t="s">
        <v>245</v>
      </c>
      <c r="W2" s="100" t="s">
        <v>244</v>
      </c>
      <c r="Z2" s="99">
        <v>0</v>
      </c>
      <c r="AA2" s="99">
        <f>AC$3*(1-EXP(-Z2/AD$3))</f>
        <v>0</v>
      </c>
      <c r="AC2" s="98" t="s">
        <v>245</v>
      </c>
      <c r="AD2" s="98" t="s">
        <v>244</v>
      </c>
      <c r="AF2" s="97">
        <v>0</v>
      </c>
      <c r="AG2" s="97">
        <f>AI$3*(1-EXP(-AF2/AJ$3))</f>
        <v>0</v>
      </c>
      <c r="AI2" s="96" t="s">
        <v>245</v>
      </c>
      <c r="AJ2" s="96" t="s">
        <v>244</v>
      </c>
    </row>
    <row r="3" spans="1:36" x14ac:dyDescent="0.3">
      <c r="A3" s="90">
        <v>0.05</v>
      </c>
      <c r="B3" s="90">
        <v>0.22</v>
      </c>
      <c r="E3" s="89">
        <v>0.05</v>
      </c>
      <c r="F3" s="88">
        <f>H$3*(1-EXP(-E3/I$3))</f>
        <v>0.24385287749642992</v>
      </c>
      <c r="H3" s="95">
        <v>5</v>
      </c>
      <c r="I3" s="95">
        <v>1</v>
      </c>
      <c r="L3" s="87">
        <v>0.05</v>
      </c>
      <c r="M3" s="86">
        <f>O$3*(1-EXP(-L3/P$3))</f>
        <v>4.9750831254159467E-2</v>
      </c>
      <c r="O3" s="94">
        <v>5</v>
      </c>
      <c r="P3" s="94">
        <v>5</v>
      </c>
      <c r="S3" s="85">
        <v>0.05</v>
      </c>
      <c r="T3" s="84">
        <f>V$3*(1-EXP(-S3/W$3))</f>
        <v>2.4937604036588401E-2</v>
      </c>
      <c r="V3" s="93">
        <v>5</v>
      </c>
      <c r="W3" s="93">
        <v>10</v>
      </c>
      <c r="Z3" s="83">
        <v>0.05</v>
      </c>
      <c r="AA3" s="82">
        <f>AC$3*(1-EXP(-Z3/AD$3))</f>
        <v>1.6638919727383628E-2</v>
      </c>
      <c r="AC3" s="92">
        <v>5</v>
      </c>
      <c r="AD3" s="92">
        <v>15</v>
      </c>
      <c r="AF3" s="81">
        <v>0.05</v>
      </c>
      <c r="AG3" s="80">
        <f>AI$3*(1-EXP(-AF3/AJ$3))</f>
        <v>1.2484388012699577E-2</v>
      </c>
      <c r="AI3" s="91">
        <v>5</v>
      </c>
      <c r="AJ3" s="91">
        <v>20</v>
      </c>
    </row>
    <row r="4" spans="1:36" x14ac:dyDescent="0.3">
      <c r="A4" s="90">
        <v>0.1</v>
      </c>
      <c r="B4" s="90">
        <v>0.45</v>
      </c>
      <c r="E4" s="89">
        <v>0.1</v>
      </c>
      <c r="F4" s="88">
        <f>H$3*(1-EXP(-E4/I$3))</f>
        <v>0.47581290982020241</v>
      </c>
      <c r="L4" s="87">
        <v>0.1</v>
      </c>
      <c r="M4" s="86">
        <f>O$3*(1-EXP(-L4/P$3))</f>
        <v>9.9006633466223737E-2</v>
      </c>
      <c r="S4" s="85">
        <v>0.1</v>
      </c>
      <c r="T4" s="84">
        <f>V$3*(1-EXP(-S4/W$3))</f>
        <v>4.9750831254159467E-2</v>
      </c>
      <c r="Z4" s="83">
        <v>0.1</v>
      </c>
      <c r="AA4" s="82">
        <f>AC$3*(1-EXP(-Z4/AD$3))</f>
        <v>3.3222468724827814E-2</v>
      </c>
      <c r="AF4" s="81">
        <v>0.1</v>
      </c>
      <c r="AG4" s="80">
        <f>AI$3*(1-EXP(-AF4/AJ$3))</f>
        <v>2.4937604036588401E-2</v>
      </c>
    </row>
    <row r="5" spans="1:36" x14ac:dyDescent="0.3">
      <c r="A5" s="90">
        <v>0.15</v>
      </c>
      <c r="B5" s="90">
        <v>0.63</v>
      </c>
      <c r="E5" s="89">
        <v>0.15</v>
      </c>
      <c r="F5" s="88">
        <f>H$3*(1-EXP(-E5/I$3))</f>
        <v>0.69646011787471096</v>
      </c>
      <c r="L5" s="87">
        <v>0.15</v>
      </c>
      <c r="M5" s="86">
        <f>O$3*(1-EXP(-L5/P$3))</f>
        <v>0.14777233225745923</v>
      </c>
      <c r="S5" s="85">
        <v>0.15</v>
      </c>
      <c r="T5" s="84">
        <f>V$3*(1-EXP(-S5/W$3))</f>
        <v>7.4440301984686763E-2</v>
      </c>
      <c r="Z5" s="83">
        <v>0.15</v>
      </c>
      <c r="AA5" s="82">
        <f>AC$3*(1-EXP(-Z5/AD$3))</f>
        <v>4.9750831254159467E-2</v>
      </c>
      <c r="AF5" s="81">
        <v>0.15</v>
      </c>
      <c r="AG5" s="80">
        <f>AI$3*(1-EXP(-AF5/AJ$3))</f>
        <v>3.7359725904307917E-2</v>
      </c>
    </row>
    <row r="6" spans="1:36" x14ac:dyDescent="0.3">
      <c r="A6" s="90">
        <v>0.2</v>
      </c>
      <c r="B6" s="90">
        <v>0.78</v>
      </c>
      <c r="E6" s="89">
        <v>0.2</v>
      </c>
      <c r="F6" s="88">
        <f>H$3*(1-EXP(-E6/I$3))</f>
        <v>0.9063462346100909</v>
      </c>
      <c r="L6" s="87">
        <v>0.2</v>
      </c>
      <c r="M6" s="86">
        <f>O$3*(1-EXP(-L6/P$3))</f>
        <v>0.19605280423838412</v>
      </c>
      <c r="S6" s="85">
        <v>0.2</v>
      </c>
      <c r="T6" s="84">
        <f>V$3*(1-EXP(-S6/W$3))</f>
        <v>9.9006633466223737E-2</v>
      </c>
      <c r="Z6" s="83">
        <v>0.2</v>
      </c>
      <c r="AA6" s="82">
        <f>AC$3*(1-EXP(-Z6/AD$3))</f>
        <v>6.6224190964021545E-2</v>
      </c>
      <c r="AF6" s="81">
        <v>0.2</v>
      </c>
      <c r="AG6" s="80">
        <f>AI$3*(1-EXP(-AF6/AJ$3))</f>
        <v>4.9750831254159467E-2</v>
      </c>
    </row>
    <row r="7" spans="1:36" x14ac:dyDescent="0.3">
      <c r="A7" s="90">
        <v>0.25</v>
      </c>
      <c r="B7" s="90">
        <v>0.92</v>
      </c>
      <c r="E7" s="89">
        <v>0.25</v>
      </c>
      <c r="F7" s="88">
        <f>H$3*(1-EXP(-E7/I$3))</f>
        <v>1.1059960846429755</v>
      </c>
      <c r="L7" s="87">
        <v>0.25</v>
      </c>
      <c r="M7" s="86">
        <f>O$3*(1-EXP(-L7/P$3))</f>
        <v>0.24385287749642992</v>
      </c>
      <c r="S7" s="85">
        <v>0.25</v>
      </c>
      <c r="T7" s="84">
        <f>V$3*(1-EXP(-S7/W$3))</f>
        <v>0.12345043985833692</v>
      </c>
      <c r="Z7" s="83">
        <v>0.25</v>
      </c>
      <c r="AA7" s="82">
        <f>AC$3*(1-EXP(-Z7/AD$3))</f>
        <v>8.2642730891912541E-2</v>
      </c>
      <c r="AF7" s="81">
        <v>0.25</v>
      </c>
      <c r="AG7" s="80">
        <f>AI$3*(1-EXP(-AF7/AJ$3))</f>
        <v>6.2110997530592793E-2</v>
      </c>
    </row>
    <row r="8" spans="1:36" x14ac:dyDescent="0.3">
      <c r="A8" s="90">
        <v>0.3</v>
      </c>
      <c r="B8" s="90">
        <v>1.05</v>
      </c>
      <c r="E8" s="89">
        <v>0.3</v>
      </c>
      <c r="F8" s="88">
        <f>H$3*(1-EXP(-E8/I$3))</f>
        <v>1.2959088965914107</v>
      </c>
      <c r="L8" s="87">
        <v>0.3</v>
      </c>
      <c r="M8" s="86">
        <f>O$3*(1-EXP(-L8/P$3))</f>
        <v>0.2911773320787564</v>
      </c>
      <c r="S8" s="85">
        <v>0.3</v>
      </c>
      <c r="T8" s="84">
        <f>V$3*(1-EXP(-S8/W$3))</f>
        <v>0.14777233225745923</v>
      </c>
      <c r="Z8" s="83">
        <v>0.3</v>
      </c>
      <c r="AA8" s="82">
        <f>AC$3*(1-EXP(-Z8/AD$3))</f>
        <v>9.9006633466223737E-2</v>
      </c>
      <c r="AF8" s="81">
        <v>0.3</v>
      </c>
      <c r="AG8" s="80">
        <f>AI$3*(1-EXP(-AF8/AJ$3))</f>
        <v>7.4440301984686763E-2</v>
      </c>
    </row>
    <row r="9" spans="1:36" x14ac:dyDescent="0.3">
      <c r="A9" s="90">
        <v>0.35</v>
      </c>
      <c r="B9" s="90">
        <v>1.18</v>
      </c>
      <c r="E9" s="89">
        <v>0.35</v>
      </c>
      <c r="F9" s="88">
        <f>H$3*(1-EXP(-E9/I$3))</f>
        <v>1.4765595514064329</v>
      </c>
      <c r="L9" s="87">
        <v>0.35</v>
      </c>
      <c r="M9" s="86">
        <f>O$3*(1-EXP(-L9/P$3))</f>
        <v>0.33803090047025863</v>
      </c>
      <c r="S9" s="85">
        <v>0.35</v>
      </c>
      <c r="T9" s="84">
        <f>V$3*(1-EXP(-S9/W$3))</f>
        <v>0.17197291871216769</v>
      </c>
      <c r="Z9" s="83">
        <v>0.35</v>
      </c>
      <c r="AA9" s="82">
        <f>AC$3*(1-EXP(-Z9/AD$3))</f>
        <v>0.11531608050826203</v>
      </c>
      <c r="AF9" s="81">
        <v>0.35</v>
      </c>
      <c r="AG9" s="80">
        <f>AI$3*(1-EXP(-AF9/AJ$3))</f>
        <v>8.6738821674633981E-2</v>
      </c>
    </row>
    <row r="10" spans="1:36" x14ac:dyDescent="0.3">
      <c r="A10" s="90">
        <v>0.4</v>
      </c>
      <c r="B10" s="90">
        <v>1.25</v>
      </c>
      <c r="E10" s="89">
        <v>0.4</v>
      </c>
      <c r="F10" s="88">
        <f>H$3*(1-EXP(-E10/I$3))</f>
        <v>1.6483997698218034</v>
      </c>
      <c r="L10" s="87">
        <v>0.4</v>
      </c>
      <c r="M10" s="86">
        <f>O$3*(1-EXP(-L10/P$3))</f>
        <v>0.38441826806682122</v>
      </c>
      <c r="S10" s="85">
        <v>0.4</v>
      </c>
      <c r="T10" s="84">
        <f>V$3*(1-EXP(-S10/W$3))</f>
        <v>0.19605280423838412</v>
      </c>
      <c r="Z10" s="83">
        <v>0.4</v>
      </c>
      <c r="AA10" s="82">
        <f>AC$3*(1-EXP(-Z10/AD$3))</f>
        <v>0.13157125323427499</v>
      </c>
      <c r="AF10" s="81">
        <v>0.4</v>
      </c>
      <c r="AG10" s="80">
        <f>AI$3*(1-EXP(-AF10/AJ$3))</f>
        <v>9.9006633466223737E-2</v>
      </c>
    </row>
    <row r="11" spans="1:36" x14ac:dyDescent="0.3">
      <c r="A11" s="90">
        <v>0.45</v>
      </c>
      <c r="B11" s="90">
        <v>1.38</v>
      </c>
      <c r="E11" s="89">
        <v>0.45</v>
      </c>
      <c r="F11" s="88">
        <f>H$3*(1-EXP(-E11/I$3))</f>
        <v>1.8118592418911335</v>
      </c>
      <c r="L11" s="87">
        <v>0.45</v>
      </c>
      <c r="M11" s="86">
        <f>O$3*(1-EXP(-L11/P$3))</f>
        <v>0.43034407364385907</v>
      </c>
      <c r="S11" s="85">
        <v>0.45</v>
      </c>
      <c r="T11" s="84">
        <f>V$3*(1-EXP(-S11/W$3))</f>
        <v>0.2200125908345002</v>
      </c>
      <c r="Z11" s="83">
        <v>0.45</v>
      </c>
      <c r="AA11" s="82">
        <f>AC$3*(1-EXP(-Z11/AD$3))</f>
        <v>0.14777233225745923</v>
      </c>
      <c r="AF11" s="81">
        <v>0.45</v>
      </c>
      <c r="AG11" s="80">
        <f>AI$3*(1-EXP(-AF11/AJ$3))</f>
        <v>0.11124381403331829</v>
      </c>
    </row>
    <row r="12" spans="1:36" x14ac:dyDescent="0.3">
      <c r="A12" s="90">
        <v>0.5</v>
      </c>
      <c r="B12" s="90">
        <v>1.55</v>
      </c>
      <c r="E12" s="89">
        <v>0.5</v>
      </c>
      <c r="F12" s="88">
        <f>H$3*(1-EXP(-E12/I$3))</f>
        <v>1.9673467014368329</v>
      </c>
      <c r="L12" s="87">
        <v>0.5</v>
      </c>
      <c r="M12" s="86">
        <f>O$3*(1-EXP(-L12/P$3))</f>
        <v>0.47581290982020241</v>
      </c>
      <c r="S12" s="85">
        <v>0.5</v>
      </c>
      <c r="T12" s="84">
        <f>V$3*(1-EXP(-S12/W$3))</f>
        <v>0.24385287749642992</v>
      </c>
      <c r="Z12" s="83">
        <v>0.5</v>
      </c>
      <c r="AA12" s="82">
        <f>AC$3*(1-EXP(-Z12/AD$3))</f>
        <v>0.16391949758997049</v>
      </c>
      <c r="AF12" s="81">
        <v>0.5</v>
      </c>
      <c r="AG12" s="80">
        <f>AI$3*(1-EXP(-AF12/AJ$3))</f>
        <v>0.12345043985833692</v>
      </c>
    </row>
    <row r="13" spans="1:36" x14ac:dyDescent="0.3">
      <c r="A13" s="90">
        <v>0.55000000000000004</v>
      </c>
      <c r="B13" s="90">
        <v>1.62</v>
      </c>
      <c r="E13" s="89">
        <v>0.55000000000000004</v>
      </c>
      <c r="F13" s="88">
        <f>H$3*(1-EXP(-E13/I$3))</f>
        <v>2.1152509480975668</v>
      </c>
      <c r="L13" s="87">
        <v>0.55000000000000004</v>
      </c>
      <c r="M13" s="86">
        <f>O$3*(1-EXP(-L13/P$3))</f>
        <v>0.52082932351735889</v>
      </c>
      <c r="S13" s="85">
        <v>0.55000000000000004</v>
      </c>
      <c r="T13" s="84">
        <f>V$3*(1-EXP(-S13/W$3))</f>
        <v>0.26757426023258091</v>
      </c>
      <c r="Z13" s="83">
        <v>0.55000000000000004</v>
      </c>
      <c r="AA13" s="82">
        <f>AC$3*(1-EXP(-Z13/AD$3))</f>
        <v>0.18001292864492313</v>
      </c>
      <c r="AF13" s="81">
        <v>0.55000000000000004</v>
      </c>
      <c r="AG13" s="80">
        <f>AI$3*(1-EXP(-AF13/AJ$3))</f>
        <v>0.13562658723273002</v>
      </c>
    </row>
    <row r="14" spans="1:36" x14ac:dyDescent="0.3">
      <c r="A14" s="90">
        <v>0.6</v>
      </c>
      <c r="B14" s="90">
        <v>1.8</v>
      </c>
      <c r="E14" s="89">
        <v>0.6</v>
      </c>
      <c r="F14" s="88">
        <f>H$3*(1-EXP(-E14/I$3))</f>
        <v>2.2559418195298679</v>
      </c>
      <c r="L14" s="87">
        <v>0.6</v>
      </c>
      <c r="M14" s="86">
        <f>O$3*(1-EXP(-L14/P$3))</f>
        <v>0.56539781641421261</v>
      </c>
      <c r="S14" s="85">
        <v>0.6</v>
      </c>
      <c r="T14" s="84">
        <f>V$3*(1-EXP(-S14/W$3))</f>
        <v>0.2911773320787564</v>
      </c>
      <c r="Z14" s="83">
        <v>0.6</v>
      </c>
      <c r="AA14" s="82">
        <f>AC$3*(1-EXP(-Z14/AD$3))</f>
        <v>0.19605280423838412</v>
      </c>
      <c r="AF14" s="81">
        <v>0.6</v>
      </c>
      <c r="AG14" s="80">
        <f>AI$3*(1-EXP(-AF14/AJ$3))</f>
        <v>0.14777233225745923</v>
      </c>
    </row>
    <row r="15" spans="1:36" x14ac:dyDescent="0.3">
      <c r="A15" s="90">
        <v>0.65</v>
      </c>
      <c r="B15" s="90">
        <v>1.88</v>
      </c>
      <c r="E15" s="89">
        <v>0.65</v>
      </c>
      <c r="F15" s="88">
        <f>H$3*(1-EXP(-E15/I$3))</f>
        <v>2.38977111619492</v>
      </c>
      <c r="L15" s="87">
        <v>0.65</v>
      </c>
      <c r="M15" s="86">
        <f>O$3*(1-EXP(-L15/P$3))</f>
        <v>0.60952284539719348</v>
      </c>
      <c r="S15" s="85">
        <v>0.65</v>
      </c>
      <c r="T15" s="84">
        <f>V$3*(1-EXP(-S15/W$3))</f>
        <v>0.31466268311298284</v>
      </c>
      <c r="Z15" s="83">
        <v>0.65</v>
      </c>
      <c r="AA15" s="82">
        <f>AC$3*(1-EXP(-Z15/AD$3))</f>
        <v>0.21203930259135695</v>
      </c>
      <c r="AF15" s="81">
        <v>0.65</v>
      </c>
      <c r="AG15" s="80">
        <f>AI$3*(1-EXP(-AF15/AJ$3))</f>
        <v>0.15988775084346984</v>
      </c>
    </row>
    <row r="16" spans="1:36" x14ac:dyDescent="0.3">
      <c r="A16" s="90">
        <v>0.7</v>
      </c>
      <c r="B16" s="90">
        <v>2.0099999999999998</v>
      </c>
      <c r="E16" s="89">
        <v>0.7</v>
      </c>
      <c r="F16" s="88">
        <f>H$3*(1-EXP(-E16/I$3))</f>
        <v>2.5170734810429525</v>
      </c>
      <c r="L16" s="87">
        <v>0.7</v>
      </c>
      <c r="M16" s="86">
        <f>O$3*(1-EXP(-L16/P$3))</f>
        <v>0.65320882300597072</v>
      </c>
      <c r="S16" s="85">
        <v>0.7</v>
      </c>
      <c r="T16" s="84">
        <f>V$3*(1-EXP(-S16/W$3))</f>
        <v>0.33803090047025863</v>
      </c>
      <c r="Z16" s="83">
        <v>0.7</v>
      </c>
      <c r="AA16" s="82">
        <f>AC$3*(1-EXP(-Z16/AD$3))</f>
        <v>0.22797260133176678</v>
      </c>
      <c r="AF16" s="81">
        <v>0.7</v>
      </c>
      <c r="AG16" s="80">
        <f>AI$3*(1-EXP(-AF16/AJ$3))</f>
        <v>0.17197291871216769</v>
      </c>
    </row>
    <row r="17" spans="1:33" x14ac:dyDescent="0.3">
      <c r="A17" s="90">
        <v>0.75</v>
      </c>
      <c r="B17" s="90">
        <v>2.08</v>
      </c>
      <c r="E17" s="89">
        <v>0.75</v>
      </c>
      <c r="F17" s="88">
        <f>H$3*(1-EXP(-E17/I$3))</f>
        <v>2.6381672362949264</v>
      </c>
      <c r="L17" s="87">
        <v>0.75</v>
      </c>
      <c r="M17" s="86">
        <f>O$3*(1-EXP(-L17/P$3))</f>
        <v>0.69646011787471096</v>
      </c>
      <c r="S17" s="85">
        <v>0.75</v>
      </c>
      <c r="T17" s="84">
        <f>V$3*(1-EXP(-S17/W$3))</f>
        <v>0.36128256835723571</v>
      </c>
      <c r="Z17" s="83">
        <v>0.75</v>
      </c>
      <c r="AA17" s="82">
        <f>AC$3*(1-EXP(-Z17/AD$3))</f>
        <v>0.24385287749642992</v>
      </c>
      <c r="AF17" s="81">
        <v>0.75</v>
      </c>
      <c r="AG17" s="80">
        <f>AI$3*(1-EXP(-AF17/AJ$3))</f>
        <v>0.18402791139589092</v>
      </c>
    </row>
    <row r="18" spans="1:33" x14ac:dyDescent="0.3">
      <c r="A18" s="90">
        <v>0.8</v>
      </c>
      <c r="B18" s="90">
        <v>2.25</v>
      </c>
      <c r="E18" s="89">
        <v>0.8</v>
      </c>
      <c r="F18" s="88">
        <f>H$3*(1-EXP(-E18/I$3))</f>
        <v>2.7533551794138922</v>
      </c>
      <c r="L18" s="87">
        <v>0.8</v>
      </c>
      <c r="M18" s="86">
        <f>O$3*(1-EXP(-L18/P$3))</f>
        <v>0.73928105516894327</v>
      </c>
      <c r="S18" s="85">
        <v>0.8</v>
      </c>
      <c r="T18" s="84">
        <f>V$3*(1-EXP(-S18/W$3))</f>
        <v>0.38441826806682122</v>
      </c>
      <c r="Z18" s="83">
        <v>0.8</v>
      </c>
      <c r="AA18" s="82">
        <f>AC$3*(1-EXP(-Z18/AD$3))</f>
        <v>0.25968030753302229</v>
      </c>
      <c r="AF18" s="81">
        <v>0.8</v>
      </c>
      <c r="AG18" s="80">
        <f>AI$3*(1-EXP(-AF18/AJ$3))</f>
        <v>0.19605280423838412</v>
      </c>
    </row>
    <row r="19" spans="1:33" x14ac:dyDescent="0.3">
      <c r="A19" s="90">
        <v>0.85</v>
      </c>
      <c r="B19" s="90">
        <v>2.2999999999999998</v>
      </c>
      <c r="E19" s="89">
        <v>0.85</v>
      </c>
      <c r="F19" s="88">
        <f>H$3*(1-EXP(-E19/I$3))</f>
        <v>2.8629253402563664</v>
      </c>
      <c r="L19" s="87">
        <v>0.85</v>
      </c>
      <c r="M19" s="86">
        <f>O$3*(1-EXP(-L19/P$3))</f>
        <v>0.78167591701808148</v>
      </c>
      <c r="S19" s="85">
        <v>0.85</v>
      </c>
      <c r="T19" s="84">
        <f>V$3*(1-EXP(-S19/W$3))</f>
        <v>0.4074385779927131</v>
      </c>
      <c r="Z19" s="83">
        <v>0.85</v>
      </c>
      <c r="AA19" s="82">
        <f>AC$3*(1-EXP(-Z19/AD$3))</f>
        <v>0.27545506730204117</v>
      </c>
      <c r="AF19" s="81">
        <v>0.85</v>
      </c>
      <c r="AG19" s="80">
        <f>AI$3*(1-EXP(-AF19/AJ$3))</f>
        <v>0.20804767239526512</v>
      </c>
    </row>
    <row r="20" spans="1:33" x14ac:dyDescent="0.3">
      <c r="A20" s="90">
        <v>0.9</v>
      </c>
      <c r="B20" s="90">
        <v>2.42</v>
      </c>
      <c r="E20" s="89">
        <v>0.9</v>
      </c>
      <c r="F20" s="88">
        <f>H$3*(1-EXP(-E20/I$3))</f>
        <v>2.9671517012970043</v>
      </c>
      <c r="L20" s="87">
        <v>0.9</v>
      </c>
      <c r="M20" s="86">
        <f>O$3*(1-EXP(-L20/P$3))</f>
        <v>0.82364894294363999</v>
      </c>
      <c r="S20" s="85">
        <v>0.9</v>
      </c>
      <c r="T20" s="84">
        <f>V$3*(1-EXP(-S20/W$3))</f>
        <v>0.43034407364385907</v>
      </c>
      <c r="Z20" s="83">
        <v>0.9</v>
      </c>
      <c r="AA20" s="82">
        <f>AC$3*(1-EXP(-Z20/AD$3))</f>
        <v>0.2911773320787564</v>
      </c>
      <c r="AF20" s="81">
        <v>0.9</v>
      </c>
      <c r="AG20" s="80">
        <f>AI$3*(1-EXP(-AF20/AJ$3))</f>
        <v>0.2200125908345002</v>
      </c>
    </row>
    <row r="21" spans="1:33" x14ac:dyDescent="0.3">
      <c r="A21" s="90">
        <v>0.95</v>
      </c>
      <c r="B21" s="90">
        <v>2.5499999999999998</v>
      </c>
      <c r="E21" s="89">
        <v>0.95</v>
      </c>
      <c r="F21" s="88">
        <f>H$3*(1-EXP(-E21/I$3))</f>
        <v>3.0662948827274938</v>
      </c>
      <c r="L21" s="87">
        <v>0.95</v>
      </c>
      <c r="M21" s="86">
        <f>O$3*(1-EXP(-L21/P$3))</f>
        <v>0.86520433028318855</v>
      </c>
      <c r="S21" s="85">
        <v>0.95</v>
      </c>
      <c r="T21" s="84">
        <f>V$3*(1-EXP(-S21/W$3))</f>
        <v>0.4531353276588429</v>
      </c>
      <c r="Z21" s="83">
        <v>0.95</v>
      </c>
      <c r="AA21" s="82">
        <f>AC$3*(1-EXP(-Z21/AD$3))</f>
        <v>0.30684727655516164</v>
      </c>
      <c r="AF21" s="81">
        <v>0.95</v>
      </c>
      <c r="AG21" s="80">
        <f>AI$3*(1-EXP(-AF21/AJ$3))</f>
        <v>0.23194763433686816</v>
      </c>
    </row>
    <row r="22" spans="1:33" x14ac:dyDescent="0.3">
      <c r="A22" s="90">
        <v>1</v>
      </c>
      <c r="B22" s="90">
        <v>2.6</v>
      </c>
      <c r="E22" s="89">
        <v>1</v>
      </c>
      <c r="F22" s="88">
        <f>H$3*(1-EXP(-E22/I$3))</f>
        <v>3.1606027941427883</v>
      </c>
      <c r="L22" s="87">
        <v>1</v>
      </c>
      <c r="M22" s="86">
        <f>O$3*(1-EXP(-L22/P$3))</f>
        <v>0.9063462346100909</v>
      </c>
      <c r="S22" s="85">
        <v>1</v>
      </c>
      <c r="T22" s="84">
        <f>V$3*(1-EXP(-S22/W$3))</f>
        <v>0.47581290982020241</v>
      </c>
      <c r="Z22" s="83">
        <v>1</v>
      </c>
      <c r="AA22" s="82">
        <f>AC$3*(1-EXP(-Z22/AD$3))</f>
        <v>0.32246507484191111</v>
      </c>
      <c r="AF22" s="81">
        <v>1</v>
      </c>
      <c r="AG22" s="80">
        <f>AI$3*(1-EXP(-AF22/AJ$3))</f>
        <v>0.24385287749642992</v>
      </c>
    </row>
    <row r="23" spans="1:33" x14ac:dyDescent="0.3">
      <c r="A23" s="90">
        <v>1.1000000000000001</v>
      </c>
      <c r="B23" s="90">
        <v>2.85</v>
      </c>
      <c r="E23" s="89">
        <v>1.1000000000000001</v>
      </c>
      <c r="F23" s="88">
        <f>H$3*(1-EXP(-E23/I$3))</f>
        <v>3.3356445815096025</v>
      </c>
      <c r="L23" s="87">
        <v>1.1000000000000001</v>
      </c>
      <c r="M23" s="86">
        <f>O$3*(1-EXP(-L23/P$3))</f>
        <v>0.98740601018760754</v>
      </c>
      <c r="S23" s="85">
        <v>1.1000000000000001</v>
      </c>
      <c r="T23" s="84">
        <f>V$3*(1-EXP(-S23/W$3))</f>
        <v>0.52082932351735889</v>
      </c>
      <c r="Z23" s="83">
        <v>1.1000000000000001</v>
      </c>
      <c r="AA23" s="82">
        <f>AC$3*(1-EXP(-Z23/AD$3))</f>
        <v>0.35354492639398216</v>
      </c>
      <c r="AF23" s="81">
        <v>1.1000000000000001</v>
      </c>
      <c r="AG23" s="80">
        <f>AI$3*(1-EXP(-AF23/AJ$3))</f>
        <v>0.26757426023258091</v>
      </c>
    </row>
    <row r="24" spans="1:33" x14ac:dyDescent="0.3">
      <c r="A24" s="90">
        <v>1.2</v>
      </c>
      <c r="B24" s="90">
        <v>3.05</v>
      </c>
      <c r="E24" s="89">
        <v>1.2</v>
      </c>
      <c r="F24" s="88">
        <f>H$3*(1-EXP(-E24/I$3))</f>
        <v>3.494028940438989</v>
      </c>
      <c r="L24" s="87">
        <v>1.2</v>
      </c>
      <c r="M24" s="86">
        <f>O$3*(1-EXP(-L24/P$3))</f>
        <v>1.0668606946672328</v>
      </c>
      <c r="S24" s="85">
        <v>1.2</v>
      </c>
      <c r="T24" s="84">
        <f>V$3*(1-EXP(-S24/W$3))</f>
        <v>0.56539781641421261</v>
      </c>
      <c r="Z24" s="83">
        <v>1.2</v>
      </c>
      <c r="AA24" s="82">
        <f>AC$3*(1-EXP(-Z24/AD$3))</f>
        <v>0.38441826806682122</v>
      </c>
      <c r="AF24" s="81">
        <v>1.2</v>
      </c>
      <c r="AG24" s="80">
        <f>AI$3*(1-EXP(-AF24/AJ$3))</f>
        <v>0.2911773320787564</v>
      </c>
    </row>
    <row r="25" spans="1:33" x14ac:dyDescent="0.3">
      <c r="A25" s="90">
        <v>1.3</v>
      </c>
      <c r="B25" s="90">
        <v>3.1</v>
      </c>
      <c r="E25" s="89">
        <v>1.3</v>
      </c>
      <c r="F25" s="88">
        <f>H$3*(1-EXP(-E25/I$3))</f>
        <v>3.6373410348299373</v>
      </c>
      <c r="L25" s="87">
        <v>1.3</v>
      </c>
      <c r="M25" s="86">
        <f>O$3*(1-EXP(-L25/P$3))</f>
        <v>1.1447420709821687</v>
      </c>
      <c r="S25" s="85">
        <v>1.3</v>
      </c>
      <c r="T25" s="84">
        <f>V$3*(1-EXP(-S25/W$3))</f>
        <v>0.60952284539719348</v>
      </c>
      <c r="Z25" s="83">
        <v>1.3</v>
      </c>
      <c r="AA25" s="82">
        <f>AC$3*(1-EXP(-Z25/AD$3))</f>
        <v>0.41508647201402848</v>
      </c>
      <c r="AF25" s="81">
        <v>1.3</v>
      </c>
      <c r="AG25" s="80">
        <f>AI$3*(1-EXP(-AF25/AJ$3))</f>
        <v>0.31466268311298284</v>
      </c>
    </row>
    <row r="26" spans="1:33" x14ac:dyDescent="0.3">
      <c r="A26" s="90">
        <v>1.4</v>
      </c>
      <c r="B26" s="90">
        <v>3.28</v>
      </c>
      <c r="E26" s="89">
        <v>1.4</v>
      </c>
      <c r="F26" s="88">
        <f>H$3*(1-EXP(-E26/I$3))</f>
        <v>3.7670151802919678</v>
      </c>
      <c r="L26" s="87">
        <v>1.4</v>
      </c>
      <c r="M26" s="86">
        <f>O$3*(1-EXP(-L26/P$3))</f>
        <v>1.2210812927213728</v>
      </c>
      <c r="S26" s="85">
        <v>1.4</v>
      </c>
      <c r="T26" s="84">
        <f>V$3*(1-EXP(-S26/W$3))</f>
        <v>0.65320882300597072</v>
      </c>
      <c r="Z26" s="83">
        <v>1.4</v>
      </c>
      <c r="AA26" s="82">
        <f>AC$3*(1-EXP(-Z26/AD$3))</f>
        <v>0.44555090127193941</v>
      </c>
      <c r="AF26" s="81">
        <v>1.4</v>
      </c>
      <c r="AG26" s="80">
        <f>AI$3*(1-EXP(-AF26/AJ$3))</f>
        <v>0.33803090047025863</v>
      </c>
    </row>
    <row r="27" spans="1:33" x14ac:dyDescent="0.3">
      <c r="A27" s="90">
        <v>1.5</v>
      </c>
      <c r="B27" s="90">
        <v>3.35</v>
      </c>
      <c r="E27" s="89">
        <v>1.5</v>
      </c>
      <c r="F27" s="88">
        <f>H$3*(1-EXP(-E27/I$3))</f>
        <v>3.8843491992578509</v>
      </c>
      <c r="L27" s="87">
        <v>1.5</v>
      </c>
      <c r="M27" s="86">
        <f>O$3*(1-EXP(-L27/P$3))</f>
        <v>1.2959088965914107</v>
      </c>
      <c r="S27" s="85">
        <v>1.5</v>
      </c>
      <c r="T27" s="84">
        <f>V$3*(1-EXP(-S27/W$3))</f>
        <v>0.69646011787471096</v>
      </c>
      <c r="Z27" s="83">
        <v>1.5</v>
      </c>
      <c r="AA27" s="82">
        <f>AC$3*(1-EXP(-Z27/AD$3))</f>
        <v>0.47581290982020241</v>
      </c>
      <c r="AF27" s="81">
        <v>1.5</v>
      </c>
      <c r="AG27" s="80">
        <f>AI$3*(1-EXP(-AF27/AJ$3))</f>
        <v>0.36128256835723571</v>
      </c>
    </row>
    <row r="28" spans="1:33" x14ac:dyDescent="0.3">
      <c r="A28" s="90">
        <v>1.6</v>
      </c>
      <c r="B28" s="90">
        <v>3.48</v>
      </c>
      <c r="E28" s="89">
        <v>1.6</v>
      </c>
      <c r="F28" s="88">
        <f>H$3*(1-EXP(-E28/I$3))</f>
        <v>3.9905174100267233</v>
      </c>
      <c r="L28" s="87">
        <v>1.6</v>
      </c>
      <c r="M28" s="86">
        <f>O$3*(1-EXP(-L28/P$3))</f>
        <v>1.3692548146315453</v>
      </c>
      <c r="S28" s="85">
        <v>1.6</v>
      </c>
      <c r="T28" s="84">
        <f>V$3*(1-EXP(-S28/W$3))</f>
        <v>0.73928105516894327</v>
      </c>
      <c r="Z28" s="83">
        <v>1.6</v>
      </c>
      <c r="AA28" s="82">
        <f>AC$3*(1-EXP(-Z28/AD$3))</f>
        <v>0.50587384264195567</v>
      </c>
      <c r="AF28" s="81">
        <v>1.6</v>
      </c>
      <c r="AG28" s="80">
        <f>AI$3*(1-EXP(-AF28/AJ$3))</f>
        <v>0.38441826806682122</v>
      </c>
    </row>
    <row r="29" spans="1:33" x14ac:dyDescent="0.3">
      <c r="A29" s="90">
        <v>1.7</v>
      </c>
      <c r="B29" s="90">
        <v>3.52</v>
      </c>
      <c r="E29" s="89">
        <v>1.7</v>
      </c>
      <c r="F29" s="88">
        <f>H$3*(1-EXP(-E29/I$3))</f>
        <v>4.0865823797363268</v>
      </c>
      <c r="L29" s="87">
        <v>1.7</v>
      </c>
      <c r="M29" s="86">
        <f>O$3*(1-EXP(-L29/P$3))</f>
        <v>1.4411483861869512</v>
      </c>
      <c r="S29" s="85">
        <v>1.7</v>
      </c>
      <c r="T29" s="84">
        <f>V$3*(1-EXP(-S29/W$3))</f>
        <v>0.78167591701808148</v>
      </c>
      <c r="Z29" s="83">
        <v>1.7</v>
      </c>
      <c r="AA29" s="82">
        <f>AC$3*(1-EXP(-Z29/AD$3))</f>
        <v>0.5357350357836077</v>
      </c>
      <c r="AF29" s="81">
        <v>1.7</v>
      </c>
      <c r="AG29" s="80">
        <f>AI$3*(1-EXP(-AF29/AJ$3))</f>
        <v>0.4074385779927131</v>
      </c>
    </row>
    <row r="30" spans="1:33" x14ac:dyDescent="0.3">
      <c r="A30" s="90">
        <v>1.8</v>
      </c>
      <c r="B30" s="90">
        <v>3.6</v>
      </c>
      <c r="E30" s="89">
        <v>1.8</v>
      </c>
      <c r="F30" s="88">
        <f>H$3*(1-EXP(-E30/I$3))</f>
        <v>4.1735055588920673</v>
      </c>
      <c r="L30" s="87">
        <v>1.8</v>
      </c>
      <c r="M30" s="86">
        <f>O$3*(1-EXP(-L30/P$3))</f>
        <v>1.5116183696448449</v>
      </c>
      <c r="S30" s="85">
        <v>1.8</v>
      </c>
      <c r="T30" s="84">
        <f>V$3*(1-EXP(-S30/W$3))</f>
        <v>0.82364894294363999</v>
      </c>
      <c r="Z30" s="83">
        <v>1.8</v>
      </c>
      <c r="AA30" s="82">
        <f>AC$3*(1-EXP(-Z30/AD$3))</f>
        <v>0.56539781641421261</v>
      </c>
      <c r="AF30" s="81">
        <v>1.8</v>
      </c>
      <c r="AG30" s="80">
        <f>AI$3*(1-EXP(-AF30/AJ$3))</f>
        <v>0.43034407364385907</v>
      </c>
    </row>
    <row r="31" spans="1:33" x14ac:dyDescent="0.3">
      <c r="A31" s="90">
        <v>1.9</v>
      </c>
      <c r="B31" s="90">
        <v>3.68</v>
      </c>
      <c r="E31" s="89">
        <v>1.9</v>
      </c>
      <c r="F31" s="88">
        <f>H$3*(1-EXP(-E31/I$3))</f>
        <v>4.2521569038868243</v>
      </c>
      <c r="L31" s="87">
        <v>1.9</v>
      </c>
      <c r="M31" s="86">
        <f>O$3*(1-EXP(-L31/P$3))</f>
        <v>1.5806929539382208</v>
      </c>
      <c r="S31" s="85">
        <v>1.9</v>
      </c>
      <c r="T31" s="84">
        <f>V$3*(1-EXP(-S31/W$3))</f>
        <v>0.86520433028318855</v>
      </c>
      <c r="Z31" s="83">
        <v>1.9</v>
      </c>
      <c r="AA31" s="82">
        <f>AC$3*(1-EXP(-Z31/AD$3))</f>
        <v>0.59486350288445899</v>
      </c>
      <c r="AF31" s="81">
        <v>1.9</v>
      </c>
      <c r="AG31" s="80">
        <f>AI$3*(1-EXP(-AF31/AJ$3))</f>
        <v>0.4531353276588429</v>
      </c>
    </row>
    <row r="32" spans="1:33" x14ac:dyDescent="0.3">
      <c r="A32" s="90">
        <v>2</v>
      </c>
      <c r="B32" s="90">
        <v>3.72</v>
      </c>
      <c r="E32" s="89">
        <v>2</v>
      </c>
      <c r="F32" s="88">
        <f>H$3*(1-EXP(-E32/I$3))</f>
        <v>4.3233235838169364</v>
      </c>
      <c r="L32" s="87">
        <v>2</v>
      </c>
      <c r="M32" s="86">
        <f>O$3*(1-EXP(-L32/P$3))</f>
        <v>1.6483997698218034</v>
      </c>
      <c r="S32" s="85">
        <v>2</v>
      </c>
      <c r="T32" s="84">
        <f>V$3*(1-EXP(-S32/W$3))</f>
        <v>0.9063462346100909</v>
      </c>
      <c r="Z32" s="83">
        <v>2</v>
      </c>
      <c r="AA32" s="82">
        <f>AC$3*(1-EXP(-Z32/AD$3))</f>
        <v>0.62413340478526258</v>
      </c>
      <c r="AF32" s="81">
        <v>2</v>
      </c>
      <c r="AG32" s="80">
        <f>AI$3*(1-EXP(-AF32/AJ$3))</f>
        <v>0.47581290982020241</v>
      </c>
    </row>
    <row r="33" spans="1:33" x14ac:dyDescent="0.3">
      <c r="A33" s="90">
        <v>2.2000000000000002</v>
      </c>
      <c r="B33" s="90">
        <v>3.88</v>
      </c>
      <c r="E33" s="89">
        <v>2.2000000000000002</v>
      </c>
      <c r="F33" s="88">
        <f>H$3*(1-EXP(-E33/I$3))</f>
        <v>4.4459842081883307</v>
      </c>
      <c r="L33" s="87">
        <v>2.2000000000000002</v>
      </c>
      <c r="M33" s="86">
        <f>O$3*(1-EXP(-L33/P$3))</f>
        <v>1.7798178945842935</v>
      </c>
      <c r="S33" s="85">
        <v>2.2000000000000002</v>
      </c>
      <c r="T33" s="84">
        <f>V$3*(1-EXP(-S33/W$3))</f>
        <v>0.98740601018760754</v>
      </c>
      <c r="Z33" s="83">
        <v>2.2000000000000002</v>
      </c>
      <c r="AA33" s="82">
        <f>AC$3*(1-EXP(-Z33/AD$3))</f>
        <v>0.68209104979217949</v>
      </c>
      <c r="AF33" s="81">
        <v>2.2000000000000002</v>
      </c>
      <c r="AG33" s="80">
        <f>AI$3*(1-EXP(-AF33/AJ$3))</f>
        <v>0.52082932351735889</v>
      </c>
    </row>
    <row r="34" spans="1:33" x14ac:dyDescent="0.3">
      <c r="A34" s="90">
        <v>2.4</v>
      </c>
      <c r="B34" s="90">
        <v>4</v>
      </c>
      <c r="E34" s="89">
        <v>2.4</v>
      </c>
      <c r="F34" s="88">
        <f>H$3*(1-EXP(-E34/I$3))</f>
        <v>4.5464102335529377</v>
      </c>
      <c r="L34" s="87">
        <v>2.4</v>
      </c>
      <c r="M34" s="86">
        <f>O$3*(1-EXP(-L34/P$3))</f>
        <v>1.9060830409692957</v>
      </c>
      <c r="S34" s="85">
        <v>2.4</v>
      </c>
      <c r="T34" s="84">
        <f>V$3*(1-EXP(-S34/W$3))</f>
        <v>1.0668606946672328</v>
      </c>
      <c r="Z34" s="83">
        <v>2.4</v>
      </c>
      <c r="AA34" s="82">
        <f>AC$3*(1-EXP(-Z34/AD$3))</f>
        <v>0.73928105516894327</v>
      </c>
      <c r="AF34" s="81">
        <v>2.4</v>
      </c>
      <c r="AG34" s="80">
        <f>AI$3*(1-EXP(-AF34/AJ$3))</f>
        <v>0.56539781641421261</v>
      </c>
    </row>
    <row r="35" spans="1:33" x14ac:dyDescent="0.3">
      <c r="A35" s="90">
        <v>2.6</v>
      </c>
      <c r="B35" s="90">
        <v>4.0999999999999996</v>
      </c>
      <c r="E35" s="89">
        <v>2.6</v>
      </c>
      <c r="F35" s="88">
        <f>H$3*(1-EXP(-E35/I$3))</f>
        <v>4.6286321089283309</v>
      </c>
      <c r="L35" s="87">
        <v>2.6</v>
      </c>
      <c r="M35" s="86">
        <f>O$3*(1-EXP(-L35/P$3))</f>
        <v>2.0273972601490282</v>
      </c>
      <c r="S35" s="85">
        <v>2.6</v>
      </c>
      <c r="T35" s="84">
        <f>V$3*(1-EXP(-S35/W$3))</f>
        <v>1.1447420709821687</v>
      </c>
      <c r="Z35" s="83">
        <v>2.6</v>
      </c>
      <c r="AA35" s="82">
        <f>AC$3*(1-EXP(-Z35/AD$3))</f>
        <v>0.79571358817824622</v>
      </c>
      <c r="AF35" s="81">
        <v>2.6</v>
      </c>
      <c r="AG35" s="80">
        <f>AI$3*(1-EXP(-AF35/AJ$3))</f>
        <v>0.60952284539719348</v>
      </c>
    </row>
    <row r="36" spans="1:33" x14ac:dyDescent="0.3">
      <c r="A36" s="90">
        <v>2.8</v>
      </c>
      <c r="B36" s="90">
        <v>4.18</v>
      </c>
      <c r="E36" s="89">
        <v>2.8</v>
      </c>
      <c r="F36" s="88">
        <f>H$3*(1-EXP(-E36/I$3))</f>
        <v>4.6959496868739103</v>
      </c>
      <c r="L36" s="87">
        <v>2.8</v>
      </c>
      <c r="M36" s="86">
        <f>O$3*(1-EXP(-L36/P$3))</f>
        <v>2.1439546807559258</v>
      </c>
      <c r="S36" s="85">
        <v>2.8</v>
      </c>
      <c r="T36" s="84">
        <f>V$3*(1-EXP(-S36/W$3))</f>
        <v>1.2210812927213728</v>
      </c>
      <c r="Z36" s="83">
        <v>2.8</v>
      </c>
      <c r="AA36" s="82">
        <f>AC$3*(1-EXP(-Z36/AD$3))</f>
        <v>0.85139868141903108</v>
      </c>
      <c r="AF36" s="81">
        <v>2.8</v>
      </c>
      <c r="AG36" s="80">
        <f>AI$3*(1-EXP(-AF36/AJ$3))</f>
        <v>0.65320882300597072</v>
      </c>
    </row>
    <row r="37" spans="1:33" x14ac:dyDescent="0.3">
      <c r="A37" s="90">
        <v>3</v>
      </c>
      <c r="B37" s="90">
        <v>4.22</v>
      </c>
      <c r="E37" s="89">
        <v>3</v>
      </c>
      <c r="F37" s="88">
        <f>H$3*(1-EXP(-E37/I$3))</f>
        <v>4.7510646581606801</v>
      </c>
      <c r="L37" s="87">
        <v>3</v>
      </c>
      <c r="M37" s="86">
        <f>O$3*(1-EXP(-L37/P$3))</f>
        <v>2.2559418195298679</v>
      </c>
      <c r="S37" s="85">
        <v>3</v>
      </c>
      <c r="T37" s="84">
        <f>V$3*(1-EXP(-S37/W$3))</f>
        <v>1.2959088965914107</v>
      </c>
      <c r="Z37" s="83">
        <v>3</v>
      </c>
      <c r="AA37" s="82">
        <f>AC$3*(1-EXP(-Z37/AD$3))</f>
        <v>0.9063462346100909</v>
      </c>
      <c r="AF37" s="81">
        <v>3</v>
      </c>
      <c r="AG37" s="80">
        <f>AI$3*(1-EXP(-AF37/AJ$3))</f>
        <v>0.69646011787471096</v>
      </c>
    </row>
    <row r="38" spans="1:33" x14ac:dyDescent="0.3">
      <c r="A38" s="90">
        <v>3.5</v>
      </c>
      <c r="B38" s="90">
        <v>4.45</v>
      </c>
      <c r="E38" s="89">
        <v>3.5</v>
      </c>
      <c r="F38" s="88">
        <f>H$3*(1-EXP(-E38/I$3))</f>
        <v>4.8490130828884075</v>
      </c>
      <c r="L38" s="87">
        <v>3.5</v>
      </c>
      <c r="M38" s="86">
        <f>O$3*(1-EXP(-L38/P$3))</f>
        <v>2.5170734810429525</v>
      </c>
      <c r="S38" s="85">
        <v>3.5</v>
      </c>
      <c r="T38" s="84">
        <f>V$3*(1-EXP(-S38/W$3))</f>
        <v>1.4765595514064329</v>
      </c>
      <c r="Z38" s="83">
        <v>3.5</v>
      </c>
      <c r="AA38" s="82">
        <f>AC$3*(1-EXP(-Z38/AD$3))</f>
        <v>1.0405521683160917</v>
      </c>
      <c r="AF38" s="81">
        <v>3.5</v>
      </c>
      <c r="AG38" s="80">
        <f>AI$3*(1-EXP(-AF38/AJ$3))</f>
        <v>0.80271489615396319</v>
      </c>
    </row>
    <row r="39" spans="1:33" x14ac:dyDescent="0.3">
      <c r="A39" s="90">
        <v>4</v>
      </c>
      <c r="B39" s="90">
        <v>4.5999999999999996</v>
      </c>
      <c r="E39" s="89">
        <v>4</v>
      </c>
      <c r="F39" s="88">
        <f>H$3*(1-EXP(-E39/I$3))</f>
        <v>4.9084218055563289</v>
      </c>
      <c r="L39" s="87">
        <v>4</v>
      </c>
      <c r="M39" s="86">
        <f>O$3*(1-EXP(-L39/P$3))</f>
        <v>2.7533551794138922</v>
      </c>
      <c r="S39" s="85">
        <v>4</v>
      </c>
      <c r="T39" s="84">
        <f>V$3*(1-EXP(-S39/W$3))</f>
        <v>1.6483997698218034</v>
      </c>
      <c r="Z39" s="83">
        <v>4</v>
      </c>
      <c r="AA39" s="82">
        <f>AC$3*(1-EXP(-Z39/AD$3))</f>
        <v>1.1703583081767566</v>
      </c>
      <c r="AF39" s="81">
        <v>4</v>
      </c>
      <c r="AG39" s="80">
        <f>AI$3*(1-EXP(-AF39/AJ$3))</f>
        <v>0.9063462346100909</v>
      </c>
    </row>
    <row r="40" spans="1:33" x14ac:dyDescent="0.3">
      <c r="A40" s="90">
        <v>5</v>
      </c>
      <c r="B40" s="90">
        <v>4.78</v>
      </c>
      <c r="E40" s="89">
        <v>5</v>
      </c>
      <c r="F40" s="88">
        <f>H$3*(1-EXP(-E40/I$3))</f>
        <v>4.966310265004573</v>
      </c>
      <c r="L40" s="87">
        <v>5</v>
      </c>
      <c r="M40" s="86">
        <f>O$3*(1-EXP(-L40/P$3))</f>
        <v>3.1606027941427883</v>
      </c>
      <c r="S40" s="85">
        <v>5</v>
      </c>
      <c r="T40" s="84">
        <f>V$3*(1-EXP(-S40/W$3))</f>
        <v>1.9673467014368329</v>
      </c>
      <c r="Z40" s="83">
        <v>5</v>
      </c>
      <c r="AA40" s="82">
        <f>AC$3*(1-EXP(-Z40/AD$3))</f>
        <v>1.4173434471310538</v>
      </c>
      <c r="AF40" s="81">
        <v>5</v>
      </c>
      <c r="AG40" s="80">
        <f>AI$3*(1-EXP(-AF40/AJ$3))</f>
        <v>1.1059960846429755</v>
      </c>
    </row>
    <row r="41" spans="1:33" x14ac:dyDescent="0.3">
      <c r="A41" s="90">
        <v>6</v>
      </c>
      <c r="B41" s="90">
        <v>4.8499999999999996</v>
      </c>
      <c r="E41" s="89">
        <v>6</v>
      </c>
      <c r="F41" s="88">
        <f>H$3*(1-EXP(-E41/I$3))</f>
        <v>4.9876062391166682</v>
      </c>
      <c r="L41" s="87">
        <v>6</v>
      </c>
      <c r="M41" s="86">
        <f>O$3*(1-EXP(-L41/P$3))</f>
        <v>3.494028940438989</v>
      </c>
      <c r="S41" s="85">
        <v>6</v>
      </c>
      <c r="T41" s="84">
        <f>V$3*(1-EXP(-S41/W$3))</f>
        <v>2.2559418195298679</v>
      </c>
      <c r="Z41" s="83">
        <v>6</v>
      </c>
      <c r="AA41" s="82">
        <f>AC$3*(1-EXP(-Z41/AD$3))</f>
        <v>1.6483997698218034</v>
      </c>
      <c r="AF41" s="81">
        <v>6</v>
      </c>
      <c r="AG41" s="80">
        <f>AI$3*(1-EXP(-AF41/AJ$3))</f>
        <v>1.2959088965914107</v>
      </c>
    </row>
    <row r="42" spans="1:33" x14ac:dyDescent="0.3">
      <c r="A42" s="90">
        <v>7</v>
      </c>
      <c r="B42" s="90">
        <v>4.92</v>
      </c>
      <c r="E42" s="89">
        <v>7</v>
      </c>
      <c r="F42" s="88">
        <f>H$3*(1-EXP(-E42/I$3))</f>
        <v>4.9954405901722279</v>
      </c>
      <c r="L42" s="87">
        <v>7</v>
      </c>
      <c r="M42" s="86">
        <f>O$3*(1-EXP(-L42/P$3))</f>
        <v>3.7670151802919678</v>
      </c>
      <c r="S42" s="85">
        <v>7</v>
      </c>
      <c r="T42" s="84">
        <f>V$3*(1-EXP(-S42/W$3))</f>
        <v>2.5170734810429525</v>
      </c>
      <c r="Z42" s="83">
        <v>7</v>
      </c>
      <c r="AA42" s="82">
        <f>AC$3*(1-EXP(-Z42/AD$3))</f>
        <v>1.8645545736347198</v>
      </c>
      <c r="AF42" s="81">
        <v>7</v>
      </c>
      <c r="AG42" s="80">
        <f>AI$3*(1-EXP(-AF42/AJ$3))</f>
        <v>1.4765595514064329</v>
      </c>
    </row>
    <row r="43" spans="1:33" x14ac:dyDescent="0.3">
      <c r="A43" s="90">
        <v>8</v>
      </c>
      <c r="B43" s="90">
        <v>4.95</v>
      </c>
      <c r="E43" s="89">
        <v>8</v>
      </c>
      <c r="F43" s="88">
        <f>H$3*(1-EXP(-E43/I$3))</f>
        <v>4.9983226868604875</v>
      </c>
      <c r="L43" s="87">
        <v>8</v>
      </c>
      <c r="M43" s="86">
        <f>O$3*(1-EXP(-L43/P$3))</f>
        <v>3.9905174100267233</v>
      </c>
      <c r="S43" s="85">
        <v>8</v>
      </c>
      <c r="T43" s="84">
        <f>V$3*(1-EXP(-S43/W$3))</f>
        <v>2.7533551794138922</v>
      </c>
      <c r="Z43" s="83">
        <v>8</v>
      </c>
      <c r="AA43" s="82">
        <f>AC$3*(1-EXP(-Z43/AD$3))</f>
        <v>2.0667689024498408</v>
      </c>
      <c r="AF43" s="81">
        <v>8</v>
      </c>
      <c r="AG43" s="80">
        <f>AI$3*(1-EXP(-AF43/AJ$3))</f>
        <v>1.6483997698218034</v>
      </c>
    </row>
    <row r="44" spans="1:33" x14ac:dyDescent="0.3">
      <c r="A44" s="90">
        <v>9</v>
      </c>
      <c r="B44" s="90">
        <v>5.01</v>
      </c>
      <c r="E44" s="89">
        <v>9</v>
      </c>
      <c r="F44" s="88">
        <f>H$3*(1-EXP(-E44/I$3))</f>
        <v>4.9993829509795669</v>
      </c>
      <c r="L44" s="87">
        <v>9</v>
      </c>
      <c r="M44" s="86">
        <f>O$3*(1-EXP(-L44/P$3))</f>
        <v>4.1735055588920673</v>
      </c>
      <c r="S44" s="85">
        <v>9</v>
      </c>
      <c r="T44" s="84">
        <f>V$3*(1-EXP(-S44/W$3))</f>
        <v>2.9671517012970043</v>
      </c>
      <c r="Z44" s="83">
        <v>9</v>
      </c>
      <c r="AA44" s="82">
        <f>AC$3*(1-EXP(-Z44/AD$3))</f>
        <v>2.2559418195298679</v>
      </c>
      <c r="AF44" s="81">
        <v>9</v>
      </c>
      <c r="AG44" s="80">
        <f>AI$3*(1-EXP(-AF44/AJ$3))</f>
        <v>1.8118592418911335</v>
      </c>
    </row>
    <row r="45" spans="1:33" x14ac:dyDescent="0.3">
      <c r="A45" s="90">
        <v>10</v>
      </c>
      <c r="B45" s="90">
        <v>4.9800000000000004</v>
      </c>
      <c r="E45" s="89">
        <v>10</v>
      </c>
      <c r="F45" s="88">
        <f>H$3*(1-EXP(-E45/I$3))</f>
        <v>4.9997730003511878</v>
      </c>
      <c r="L45" s="87">
        <v>10</v>
      </c>
      <c r="M45" s="86">
        <f>O$3*(1-EXP(-L45/P$3))</f>
        <v>4.3233235838169364</v>
      </c>
      <c r="S45" s="85">
        <v>10</v>
      </c>
      <c r="T45" s="84">
        <f>V$3*(1-EXP(-S45/W$3))</f>
        <v>3.1606027941427883</v>
      </c>
      <c r="Z45" s="83">
        <v>10</v>
      </c>
      <c r="AA45" s="82">
        <f>AC$3*(1-EXP(-Z45/AD$3))</f>
        <v>2.4329144048370397</v>
      </c>
      <c r="AF45" s="81">
        <v>10</v>
      </c>
      <c r="AG45" s="80">
        <f>AI$3*(1-EXP(-AF45/AJ$3))</f>
        <v>1.9673467014368329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F5D0-00F2-44A5-8266-2B8858D5EBE8}">
  <dimension ref="A1:F19"/>
  <sheetViews>
    <sheetView tabSelected="1" workbookViewId="0">
      <selection activeCell="F20" sqref="F20"/>
    </sheetView>
  </sheetViews>
  <sheetFormatPr baseColWidth="10" defaultRowHeight="14.4" x14ac:dyDescent="0.3"/>
  <cols>
    <col min="2" max="2" width="19" customWidth="1"/>
    <col min="6" max="6" width="12.44140625" customWidth="1"/>
    <col min="7" max="7" width="17.33203125" customWidth="1"/>
  </cols>
  <sheetData>
    <row r="1" spans="1:6" ht="27.6" x14ac:dyDescent="0.3">
      <c r="A1" t="s">
        <v>24</v>
      </c>
      <c r="B1" t="s">
        <v>46</v>
      </c>
      <c r="C1" t="s">
        <v>47</v>
      </c>
      <c r="D1" t="s">
        <v>48</v>
      </c>
      <c r="E1" t="s">
        <v>49</v>
      </c>
      <c r="F1" s="22" t="s">
        <v>50</v>
      </c>
    </row>
    <row r="2" spans="1:6" ht="28.8" x14ac:dyDescent="0.3">
      <c r="A2" s="23" t="s">
        <v>51</v>
      </c>
      <c r="B2">
        <v>16</v>
      </c>
      <c r="C2" t="s">
        <v>53</v>
      </c>
      <c r="D2">
        <v>1</v>
      </c>
      <c r="E2">
        <v>9</v>
      </c>
      <c r="F2" t="s">
        <v>55</v>
      </c>
    </row>
    <row r="3" spans="1:6" ht="28.8" x14ac:dyDescent="0.3">
      <c r="A3" s="23" t="s">
        <v>52</v>
      </c>
      <c r="B3">
        <v>17</v>
      </c>
      <c r="C3" t="s">
        <v>53</v>
      </c>
      <c r="D3">
        <v>2</v>
      </c>
      <c r="E3">
        <v>7</v>
      </c>
      <c r="F3" t="s">
        <v>56</v>
      </c>
    </row>
    <row r="4" spans="1:6" x14ac:dyDescent="0.3">
      <c r="A4" t="s">
        <v>57</v>
      </c>
      <c r="B4">
        <v>20</v>
      </c>
      <c r="C4" t="s">
        <v>53</v>
      </c>
      <c r="D4">
        <v>9</v>
      </c>
      <c r="E4">
        <v>8</v>
      </c>
      <c r="F4" t="s">
        <v>56</v>
      </c>
    </row>
    <row r="5" spans="1:6" x14ac:dyDescent="0.3">
      <c r="A5" t="s">
        <v>58</v>
      </c>
      <c r="B5">
        <v>16</v>
      </c>
      <c r="C5" t="s">
        <v>54</v>
      </c>
      <c r="D5">
        <v>1</v>
      </c>
      <c r="E5">
        <v>8</v>
      </c>
      <c r="F5" t="s">
        <v>55</v>
      </c>
    </row>
    <row r="6" spans="1:6" x14ac:dyDescent="0.3">
      <c r="A6" t="s">
        <v>59</v>
      </c>
      <c r="B6">
        <v>20</v>
      </c>
      <c r="C6" t="s">
        <v>54</v>
      </c>
      <c r="D6">
        <v>3</v>
      </c>
      <c r="E6">
        <v>8</v>
      </c>
      <c r="F6" t="s">
        <v>55</v>
      </c>
    </row>
    <row r="7" spans="1:6" x14ac:dyDescent="0.3">
      <c r="A7" t="s">
        <v>60</v>
      </c>
      <c r="B7">
        <v>18</v>
      </c>
      <c r="C7" t="s">
        <v>53</v>
      </c>
      <c r="D7">
        <v>2</v>
      </c>
      <c r="E7">
        <v>7</v>
      </c>
      <c r="F7" t="s">
        <v>56</v>
      </c>
    </row>
    <row r="8" spans="1:6" x14ac:dyDescent="0.3">
      <c r="A8" t="s">
        <v>61</v>
      </c>
      <c r="B8">
        <v>18</v>
      </c>
      <c r="C8" t="s">
        <v>53</v>
      </c>
      <c r="D8">
        <v>3</v>
      </c>
      <c r="E8">
        <v>6</v>
      </c>
      <c r="F8" t="s">
        <v>56</v>
      </c>
    </row>
    <row r="9" spans="1:6" x14ac:dyDescent="0.3">
      <c r="A9" t="s">
        <v>62</v>
      </c>
      <c r="B9">
        <v>16</v>
      </c>
      <c r="C9" t="s">
        <v>54</v>
      </c>
      <c r="D9">
        <v>1</v>
      </c>
      <c r="E9">
        <v>7</v>
      </c>
      <c r="F9" t="s">
        <v>55</v>
      </c>
    </row>
    <row r="11" spans="1:6" ht="28.2" thickBot="1" x14ac:dyDescent="0.35">
      <c r="A11" s="68"/>
      <c r="B11" s="79" t="s">
        <v>46</v>
      </c>
      <c r="C11" s="79" t="s">
        <v>47</v>
      </c>
      <c r="D11" s="79" t="s">
        <v>48</v>
      </c>
      <c r="E11" s="79" t="s">
        <v>49</v>
      </c>
      <c r="F11" s="113" t="s">
        <v>50</v>
      </c>
    </row>
    <row r="12" spans="1:6" ht="15" thickTop="1" x14ac:dyDescent="0.3">
      <c r="A12" s="67"/>
      <c r="B12" s="63">
        <v>16</v>
      </c>
      <c r="C12" s="63" t="s">
        <v>53</v>
      </c>
      <c r="D12" s="63">
        <v>2</v>
      </c>
      <c r="E12" s="63">
        <v>6</v>
      </c>
      <c r="F12" s="64" t="s">
        <v>56</v>
      </c>
    </row>
    <row r="13" spans="1:6" x14ac:dyDescent="0.3">
      <c r="A13" s="68" t="s">
        <v>63</v>
      </c>
      <c r="B13" s="65">
        <f>DCOUNT(A1:F9, "Edad", B11:B12)</f>
        <v>3</v>
      </c>
      <c r="C13" s="65">
        <f>DCOUNT(A1:F9,"Sexo",C11:C12)</f>
        <v>0</v>
      </c>
      <c r="D13" s="65">
        <f>DCOUNT(A1:F9,"Grado",D11:D12)</f>
        <v>2</v>
      </c>
      <c r="E13" s="65">
        <f>DCOUNT(A1:F9,"Calificación", E11:E12)</f>
        <v>1</v>
      </c>
      <c r="F13" s="66">
        <f>DCOUNT(A1:F9,"Tipo de Evaluacion",F11:F12)</f>
        <v>0</v>
      </c>
    </row>
    <row r="14" spans="1:6" x14ac:dyDescent="0.3">
      <c r="A14" s="67" t="s">
        <v>64</v>
      </c>
      <c r="B14" s="63">
        <f>DCOUNTA(A1:F9,"Edad",B11:B12)</f>
        <v>3</v>
      </c>
      <c r="C14" s="63">
        <f>DCOUNTA(A1:F9,"Sexo",C11:C12)</f>
        <v>5</v>
      </c>
      <c r="D14" s="65">
        <f>DCOUNTA(A1:F9,"Grado",D11:D12)</f>
        <v>2</v>
      </c>
      <c r="E14" s="63">
        <f>DCOUNTA(A1:F9,"Calificación", E11:E12)</f>
        <v>1</v>
      </c>
      <c r="F14" s="64">
        <f>DCOUNTA(A1:F9,"Tipo de Evaluacion",F11:F12)</f>
        <v>4</v>
      </c>
    </row>
    <row r="15" spans="1:6" x14ac:dyDescent="0.3">
      <c r="A15" s="68" t="s">
        <v>65</v>
      </c>
      <c r="B15">
        <f>DMAX(A1:F9,"Edad",B11:B12)</f>
        <v>16</v>
      </c>
      <c r="C15" s="65">
        <f>DMAX(A1:F9,"Sexo",C11:C12)</f>
        <v>0</v>
      </c>
      <c r="D15" s="65">
        <f>DMAX(A1:F9,"Grado",D11:D12)</f>
        <v>2</v>
      </c>
      <c r="E15" s="65">
        <f>DMAX(A1:F9,"Calificación", E11:E12)</f>
        <v>6</v>
      </c>
      <c r="F15" s="66">
        <f>DMAX(A1:F9,"Tipo de Evaluacion",F11:F12)</f>
        <v>0</v>
      </c>
    </row>
    <row r="16" spans="1:6" x14ac:dyDescent="0.3">
      <c r="A16" s="67" t="s">
        <v>237</v>
      </c>
      <c r="B16" s="63">
        <f>DMIN(A1:F9,"Edad",B11:B12)</f>
        <v>16</v>
      </c>
      <c r="C16" s="63">
        <f>DMIN(A1:F9,"Sexo",C11:C12)</f>
        <v>0</v>
      </c>
      <c r="D16" s="63">
        <f>DMIN(A1:F9,"Grado",D11:D12)</f>
        <v>2</v>
      </c>
      <c r="E16" s="63">
        <f>DMIN(A1:F9,"Calificación", E11:E12)</f>
        <v>6</v>
      </c>
      <c r="F16" s="64">
        <f>DMIN(A1:F9,"Tipo de Evaluacion",F11:F12)</f>
        <v>0</v>
      </c>
    </row>
    <row r="17" spans="1:6" x14ac:dyDescent="0.3">
      <c r="A17" s="68" t="s">
        <v>238</v>
      </c>
      <c r="B17" s="65">
        <f>DSUM(A1:F9,"Edad",B11:B12)</f>
        <v>48</v>
      </c>
      <c r="C17" s="65">
        <f>DSUM(A1:F9,"Sexo",C11:C12)</f>
        <v>0</v>
      </c>
      <c r="D17" s="65">
        <f>DSUM(A1:F9,"Grado",D11:D12)</f>
        <v>4</v>
      </c>
      <c r="E17" s="65">
        <f>DAVERAGE(A1:F9,"Calificación", E11:E12)</f>
        <v>6</v>
      </c>
      <c r="F17" s="66">
        <f>DSUM(A1:F9,"Tipo de Evaluacion",F11:F12)</f>
        <v>0</v>
      </c>
    </row>
    <row r="18" spans="1:6" x14ac:dyDescent="0.3">
      <c r="A18" s="67" t="s">
        <v>239</v>
      </c>
      <c r="B18" s="63">
        <f>DAVERAGE(A1:F9, "Edad",B11:B12)</f>
        <v>16</v>
      </c>
      <c r="C18" s="63" t="e">
        <f>DAVERAGE(A1:F9,"Sexo",C11:C12)</f>
        <v>#DIV/0!</v>
      </c>
      <c r="D18" s="63">
        <f>DAVERAGE(A1:F9,"Grado",D11:D12)</f>
        <v>2</v>
      </c>
      <c r="E18" s="63">
        <f>DSUM(A1:F9,"Calificación", E11:E12)</f>
        <v>6</v>
      </c>
      <c r="F18" s="64" t="e">
        <f>DAVERAGE(A1:F9,"Tipo de Evaluacion",F11:F12)</f>
        <v>#DIV/0!</v>
      </c>
    </row>
    <row r="19" spans="1:6" x14ac:dyDescent="0.3">
      <c r="A19" s="69" t="s">
        <v>240</v>
      </c>
      <c r="B19" s="70">
        <f>DPRODUCT(A1:F9,"Edad",B11:B12)</f>
        <v>4096</v>
      </c>
      <c r="C19" s="70">
        <f>DPRODUCT(A1:F9,"Sexo",C11:C12)</f>
        <v>0</v>
      </c>
      <c r="D19" s="70">
        <f>DPRODUCT(A1:F9,"Grado",D11:D12)</f>
        <v>4</v>
      </c>
      <c r="E19" s="70">
        <f>DPRODUCT(A1:F9,"Calificación", E11:E12)</f>
        <v>6</v>
      </c>
      <c r="F19" s="71">
        <f>DPRODUCT(A1:F9,"Tipo de Evaluacion",F11:F12)</f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9E4B-7B95-40C5-9D4D-A7DC17E88827}">
  <dimension ref="A1:P26"/>
  <sheetViews>
    <sheetView topLeftCell="C10" workbookViewId="0">
      <selection activeCell="I24" sqref="I24"/>
    </sheetView>
  </sheetViews>
  <sheetFormatPr baseColWidth="10" defaultRowHeight="14.4" x14ac:dyDescent="0.3"/>
  <sheetData>
    <row r="1" spans="1:16" x14ac:dyDescent="0.3">
      <c r="A1" s="62" t="s">
        <v>24</v>
      </c>
      <c r="B1" s="62" t="s">
        <v>174</v>
      </c>
      <c r="C1" s="62" t="s">
        <v>173</v>
      </c>
      <c r="D1" s="62" t="s">
        <v>172</v>
      </c>
      <c r="E1" s="62" t="s">
        <v>171</v>
      </c>
      <c r="F1" s="62" t="s">
        <v>170</v>
      </c>
      <c r="G1" s="62" t="s">
        <v>169</v>
      </c>
      <c r="H1" s="62" t="s">
        <v>236</v>
      </c>
      <c r="I1" s="62" t="s">
        <v>235</v>
      </c>
      <c r="J1" s="62" t="s">
        <v>234</v>
      </c>
    </row>
    <row r="2" spans="1:16" x14ac:dyDescent="0.3">
      <c r="A2" s="62" t="s">
        <v>168</v>
      </c>
      <c r="B2" s="62" t="s">
        <v>167</v>
      </c>
      <c r="C2" s="62" t="s">
        <v>132</v>
      </c>
      <c r="D2" s="62">
        <v>5</v>
      </c>
      <c r="E2" s="62">
        <v>7</v>
      </c>
      <c r="F2" s="62">
        <v>9</v>
      </c>
      <c r="G2" s="62" t="s">
        <v>132</v>
      </c>
      <c r="H2" s="62" t="s">
        <v>224</v>
      </c>
      <c r="I2" s="62" t="s">
        <v>223</v>
      </c>
      <c r="J2" s="62" t="s">
        <v>223</v>
      </c>
      <c r="N2" s="76" t="s">
        <v>233</v>
      </c>
      <c r="O2" s="76"/>
      <c r="P2" s="76"/>
    </row>
    <row r="3" spans="1:16" x14ac:dyDescent="0.3">
      <c r="A3" s="62" t="s">
        <v>166</v>
      </c>
      <c r="B3" s="62" t="s">
        <v>165</v>
      </c>
      <c r="C3" s="62" t="s">
        <v>129</v>
      </c>
      <c r="D3" s="62">
        <v>7</v>
      </c>
      <c r="E3" s="62">
        <v>5</v>
      </c>
      <c r="F3" s="62">
        <v>5</v>
      </c>
      <c r="G3" s="62">
        <v>5.6666666670000003</v>
      </c>
      <c r="H3" s="62" t="s">
        <v>223</v>
      </c>
      <c r="I3" s="62" t="s">
        <v>224</v>
      </c>
      <c r="J3" s="62" t="s">
        <v>224</v>
      </c>
      <c r="N3" s="62"/>
      <c r="O3" s="62" t="s">
        <v>232</v>
      </c>
      <c r="P3" s="62" t="s">
        <v>231</v>
      </c>
    </row>
    <row r="4" spans="1:16" x14ac:dyDescent="0.3">
      <c r="A4" s="62" t="s">
        <v>164</v>
      </c>
      <c r="B4" s="62" t="s">
        <v>163</v>
      </c>
      <c r="C4" s="62" t="s">
        <v>126</v>
      </c>
      <c r="D4" s="62">
        <v>3</v>
      </c>
      <c r="E4" s="62">
        <v>8</v>
      </c>
      <c r="F4" s="62">
        <v>5</v>
      </c>
      <c r="G4" s="62">
        <v>5.3333333329999997</v>
      </c>
      <c r="H4" s="62" t="s">
        <v>224</v>
      </c>
      <c r="I4" s="62" t="s">
        <v>223</v>
      </c>
      <c r="J4" s="62" t="s">
        <v>224</v>
      </c>
      <c r="N4" s="62" t="s">
        <v>172</v>
      </c>
      <c r="O4" s="62">
        <v>7</v>
      </c>
      <c r="P4" s="62">
        <v>15</v>
      </c>
    </row>
    <row r="5" spans="1:16" x14ac:dyDescent="0.3">
      <c r="A5" s="62" t="s">
        <v>162</v>
      </c>
      <c r="B5" s="62" t="s">
        <v>161</v>
      </c>
      <c r="C5" s="62" t="s">
        <v>129</v>
      </c>
      <c r="D5" s="62">
        <v>6</v>
      </c>
      <c r="E5" s="62">
        <v>5</v>
      </c>
      <c r="F5" s="62">
        <v>8</v>
      </c>
      <c r="G5" s="62">
        <v>6.3333333329999997</v>
      </c>
      <c r="H5" s="62" t="s">
        <v>223</v>
      </c>
      <c r="I5" s="62" t="s">
        <v>224</v>
      </c>
      <c r="J5" s="62" t="s">
        <v>223</v>
      </c>
      <c r="N5" s="62" t="s">
        <v>171</v>
      </c>
      <c r="O5" s="62">
        <v>11</v>
      </c>
      <c r="P5" s="62">
        <v>11</v>
      </c>
    </row>
    <row r="6" spans="1:16" x14ac:dyDescent="0.3">
      <c r="A6" s="62" t="s">
        <v>160</v>
      </c>
      <c r="B6" s="62" t="s">
        <v>159</v>
      </c>
      <c r="C6" s="62" t="s">
        <v>126</v>
      </c>
      <c r="D6" s="62">
        <v>6</v>
      </c>
      <c r="E6" s="62">
        <v>6</v>
      </c>
      <c r="F6" s="62">
        <v>7</v>
      </c>
      <c r="G6" s="62">
        <v>6.3333333329999997</v>
      </c>
      <c r="H6" s="62" t="s">
        <v>223</v>
      </c>
      <c r="I6" s="62" t="s">
        <v>223</v>
      </c>
      <c r="J6" s="62" t="s">
        <v>223</v>
      </c>
      <c r="N6" s="62" t="s">
        <v>225</v>
      </c>
      <c r="O6" s="62">
        <v>7</v>
      </c>
      <c r="P6" s="62">
        <v>15</v>
      </c>
    </row>
    <row r="7" spans="1:16" x14ac:dyDescent="0.3">
      <c r="A7" s="62" t="s">
        <v>140</v>
      </c>
      <c r="B7" s="62" t="s">
        <v>159</v>
      </c>
      <c r="C7" s="62" t="s">
        <v>129</v>
      </c>
      <c r="D7" s="62">
        <v>8</v>
      </c>
      <c r="E7" s="62">
        <v>4</v>
      </c>
      <c r="F7" s="62">
        <v>6</v>
      </c>
      <c r="G7" s="62">
        <v>6</v>
      </c>
      <c r="H7" s="62" t="s">
        <v>223</v>
      </c>
      <c r="I7" s="62" t="s">
        <v>224</v>
      </c>
      <c r="J7" s="62" t="s">
        <v>223</v>
      </c>
    </row>
    <row r="8" spans="1:16" x14ac:dyDescent="0.3">
      <c r="A8" s="62" t="s">
        <v>158</v>
      </c>
      <c r="B8" s="62" t="s">
        <v>157</v>
      </c>
      <c r="C8" s="62" t="s">
        <v>132</v>
      </c>
      <c r="D8" s="62">
        <v>7</v>
      </c>
      <c r="E8" s="62">
        <v>5</v>
      </c>
      <c r="F8" s="62">
        <v>6</v>
      </c>
      <c r="G8" s="62">
        <v>6</v>
      </c>
      <c r="H8" s="62" t="s">
        <v>223</v>
      </c>
      <c r="I8" s="62" t="s">
        <v>224</v>
      </c>
      <c r="J8" s="62" t="s">
        <v>223</v>
      </c>
    </row>
    <row r="9" spans="1:16" x14ac:dyDescent="0.3">
      <c r="A9" s="62" t="s">
        <v>156</v>
      </c>
      <c r="B9" s="62" t="s">
        <v>154</v>
      </c>
      <c r="C9" s="62" t="s">
        <v>126</v>
      </c>
      <c r="D9" s="62">
        <v>5</v>
      </c>
      <c r="E9" s="62">
        <v>7</v>
      </c>
      <c r="F9" s="62">
        <v>8</v>
      </c>
      <c r="G9" s="62">
        <v>6.6666666670000003</v>
      </c>
      <c r="H9" s="62" t="s">
        <v>224</v>
      </c>
      <c r="I9" s="62" t="s">
        <v>223</v>
      </c>
      <c r="J9" s="62" t="s">
        <v>223</v>
      </c>
      <c r="M9" s="72" t="s">
        <v>230</v>
      </c>
      <c r="N9" s="72"/>
      <c r="O9" s="72"/>
      <c r="P9" s="62"/>
    </row>
    <row r="10" spans="1:16" x14ac:dyDescent="0.3">
      <c r="A10" s="62" t="s">
        <v>155</v>
      </c>
      <c r="B10" s="62" t="s">
        <v>154</v>
      </c>
      <c r="C10" s="62" t="s">
        <v>126</v>
      </c>
      <c r="D10" s="62">
        <v>7</v>
      </c>
      <c r="E10" s="62">
        <v>6</v>
      </c>
      <c r="F10" s="62">
        <v>5</v>
      </c>
      <c r="G10" s="62">
        <v>6</v>
      </c>
      <c r="H10" s="62" t="s">
        <v>223</v>
      </c>
      <c r="I10" s="62" t="s">
        <v>223</v>
      </c>
      <c r="J10" s="62" t="s">
        <v>224</v>
      </c>
      <c r="M10" s="62"/>
      <c r="N10" s="62" t="s">
        <v>228</v>
      </c>
      <c r="O10" s="62" t="s">
        <v>227</v>
      </c>
      <c r="P10" s="62" t="s">
        <v>226</v>
      </c>
    </row>
    <row r="11" spans="1:16" x14ac:dyDescent="0.3">
      <c r="A11" s="62" t="s">
        <v>153</v>
      </c>
      <c r="B11" s="62" t="s">
        <v>152</v>
      </c>
      <c r="C11" s="62" t="s">
        <v>129</v>
      </c>
      <c r="D11" s="62">
        <v>8</v>
      </c>
      <c r="E11" s="62">
        <v>9</v>
      </c>
      <c r="F11" s="62">
        <v>8</v>
      </c>
      <c r="G11" s="62">
        <v>8.3333333330000006</v>
      </c>
      <c r="H11" s="62" t="s">
        <v>223</v>
      </c>
      <c r="I11" s="62" t="s">
        <v>223</v>
      </c>
      <c r="J11" s="62" t="s">
        <v>223</v>
      </c>
      <c r="M11" s="62" t="s">
        <v>172</v>
      </c>
      <c r="N11" s="62">
        <v>8</v>
      </c>
      <c r="O11" s="62">
        <v>9</v>
      </c>
      <c r="P11" s="62">
        <v>7</v>
      </c>
    </row>
    <row r="12" spans="1:16" x14ac:dyDescent="0.3">
      <c r="A12" s="62" t="s">
        <v>151</v>
      </c>
      <c r="B12" s="62" t="s">
        <v>150</v>
      </c>
      <c r="C12" s="62" t="s">
        <v>132</v>
      </c>
      <c r="D12" s="62">
        <v>6</v>
      </c>
      <c r="E12" s="62">
        <v>3</v>
      </c>
      <c r="F12" s="62">
        <v>9</v>
      </c>
      <c r="G12" s="62">
        <v>6</v>
      </c>
      <c r="H12" s="62" t="s">
        <v>223</v>
      </c>
      <c r="I12" s="62" t="s">
        <v>224</v>
      </c>
      <c r="J12" s="62" t="s">
        <v>223</v>
      </c>
      <c r="M12" s="62" t="s">
        <v>171</v>
      </c>
      <c r="N12" s="62">
        <v>7</v>
      </c>
      <c r="O12" s="62">
        <v>9</v>
      </c>
      <c r="P12" s="62">
        <v>8</v>
      </c>
    </row>
    <row r="13" spans="1:16" x14ac:dyDescent="0.3">
      <c r="A13" s="62" t="s">
        <v>149</v>
      </c>
      <c r="B13" s="62" t="s">
        <v>147</v>
      </c>
      <c r="C13" s="62" t="s">
        <v>132</v>
      </c>
      <c r="D13" s="62">
        <v>7</v>
      </c>
      <c r="E13" s="62">
        <v>4</v>
      </c>
      <c r="F13" s="62">
        <v>5</v>
      </c>
      <c r="G13" s="62">
        <v>5.3333333329999997</v>
      </c>
      <c r="H13" s="62" t="s">
        <v>223</v>
      </c>
      <c r="I13" s="62" t="s">
        <v>224</v>
      </c>
      <c r="J13" s="62" t="s">
        <v>224</v>
      </c>
      <c r="M13" s="62" t="s">
        <v>225</v>
      </c>
      <c r="N13" s="62">
        <v>9</v>
      </c>
      <c r="O13" s="62">
        <v>8</v>
      </c>
      <c r="P13" s="62">
        <v>8</v>
      </c>
    </row>
    <row r="14" spans="1:16" x14ac:dyDescent="0.3">
      <c r="A14" s="62" t="s">
        <v>148</v>
      </c>
      <c r="B14" s="62" t="s">
        <v>147</v>
      </c>
      <c r="C14" s="62" t="s">
        <v>132</v>
      </c>
      <c r="D14" s="62">
        <v>3</v>
      </c>
      <c r="E14" s="62">
        <v>4</v>
      </c>
      <c r="F14" s="62">
        <v>7</v>
      </c>
      <c r="G14" s="62">
        <v>4.6666666670000003</v>
      </c>
      <c r="H14" s="62" t="s">
        <v>224</v>
      </c>
      <c r="I14" s="62" t="s">
        <v>224</v>
      </c>
      <c r="J14" s="62" t="s">
        <v>223</v>
      </c>
    </row>
    <row r="15" spans="1:16" x14ac:dyDescent="0.3">
      <c r="A15" s="62" t="s">
        <v>146</v>
      </c>
      <c r="B15" s="62" t="s">
        <v>145</v>
      </c>
      <c r="C15" s="62" t="s">
        <v>132</v>
      </c>
      <c r="D15" s="62">
        <v>6</v>
      </c>
      <c r="E15" s="62">
        <v>3</v>
      </c>
      <c r="F15" s="62">
        <v>9</v>
      </c>
      <c r="G15" s="62">
        <v>6</v>
      </c>
      <c r="H15" s="62" t="s">
        <v>223</v>
      </c>
      <c r="I15" s="62" t="s">
        <v>224</v>
      </c>
      <c r="J15" s="62" t="s">
        <v>223</v>
      </c>
    </row>
    <row r="16" spans="1:16" x14ac:dyDescent="0.3">
      <c r="A16" s="62" t="s">
        <v>144</v>
      </c>
      <c r="B16" s="62" t="s">
        <v>143</v>
      </c>
      <c r="C16" s="62" t="s">
        <v>129</v>
      </c>
      <c r="D16" s="62">
        <v>6</v>
      </c>
      <c r="E16" s="62">
        <v>5</v>
      </c>
      <c r="F16" s="62">
        <v>6</v>
      </c>
      <c r="G16" s="62">
        <v>5.6666666670000003</v>
      </c>
      <c r="H16" s="62" t="s">
        <v>223</v>
      </c>
      <c r="I16" s="62" t="s">
        <v>224</v>
      </c>
      <c r="J16" s="62" t="s">
        <v>223</v>
      </c>
    </row>
    <row r="17" spans="1:16" x14ac:dyDescent="0.3">
      <c r="A17" s="62" t="s">
        <v>142</v>
      </c>
      <c r="B17" s="62" t="s">
        <v>141</v>
      </c>
      <c r="C17" s="62" t="s">
        <v>126</v>
      </c>
      <c r="D17" s="62">
        <v>3</v>
      </c>
      <c r="E17" s="62">
        <v>8</v>
      </c>
      <c r="F17" s="62">
        <v>5</v>
      </c>
      <c r="G17" s="62">
        <v>5.3333333329999997</v>
      </c>
      <c r="H17" s="62" t="s">
        <v>224</v>
      </c>
      <c r="I17" s="62" t="s">
        <v>223</v>
      </c>
      <c r="J17" s="62" t="s">
        <v>224</v>
      </c>
      <c r="M17" s="62" t="s">
        <v>229</v>
      </c>
      <c r="N17" s="62"/>
      <c r="O17" s="62"/>
      <c r="P17" s="62"/>
    </row>
    <row r="18" spans="1:16" x14ac:dyDescent="0.3">
      <c r="A18" s="62" t="s">
        <v>140</v>
      </c>
      <c r="B18" s="62" t="s">
        <v>139</v>
      </c>
      <c r="C18" s="62" t="s">
        <v>129</v>
      </c>
      <c r="D18" s="62">
        <v>9</v>
      </c>
      <c r="E18" s="62">
        <v>3</v>
      </c>
      <c r="F18" s="62">
        <v>7</v>
      </c>
      <c r="G18" s="62">
        <v>6.3333333329999997</v>
      </c>
      <c r="H18" s="62" t="s">
        <v>223</v>
      </c>
      <c r="I18" s="62" t="s">
        <v>224</v>
      </c>
      <c r="J18" s="62" t="s">
        <v>223</v>
      </c>
      <c r="M18" s="62"/>
      <c r="N18" s="62" t="s">
        <v>228</v>
      </c>
      <c r="O18" s="62" t="s">
        <v>227</v>
      </c>
      <c r="P18" s="62" t="s">
        <v>226</v>
      </c>
    </row>
    <row r="19" spans="1:16" x14ac:dyDescent="0.3">
      <c r="A19" s="62" t="s">
        <v>138</v>
      </c>
      <c r="B19" s="62" t="s">
        <v>137</v>
      </c>
      <c r="C19" s="62" t="s">
        <v>132</v>
      </c>
      <c r="D19" s="62">
        <v>5</v>
      </c>
      <c r="E19" s="62">
        <v>5</v>
      </c>
      <c r="F19" s="62">
        <v>6</v>
      </c>
      <c r="G19" s="62">
        <v>5.3333333329999997</v>
      </c>
      <c r="H19" s="62" t="s">
        <v>224</v>
      </c>
      <c r="I19" s="62" t="s">
        <v>224</v>
      </c>
      <c r="J19" s="62" t="s">
        <v>223</v>
      </c>
      <c r="M19" s="62" t="s">
        <v>172</v>
      </c>
      <c r="N19" s="62">
        <f>AVERAGEIF($C$2:$C$23,"A",$D$2:$D$23)</f>
        <v>5.875</v>
      </c>
      <c r="O19" s="62">
        <f>AVERAGEIF($C$2:$C$23, "B", $D$2:$D$23)</f>
        <v>7.4285714285714288</v>
      </c>
      <c r="P19" s="62">
        <f>AVERAGEIF($C$2:$C$23, "C", $D$2:$D$23)</f>
        <v>5</v>
      </c>
    </row>
    <row r="20" spans="1:16" x14ac:dyDescent="0.3">
      <c r="A20" s="62" t="s">
        <v>136</v>
      </c>
      <c r="B20" s="62" t="s">
        <v>135</v>
      </c>
      <c r="C20" s="62" t="s">
        <v>126</v>
      </c>
      <c r="D20" s="62">
        <v>7</v>
      </c>
      <c r="E20" s="62">
        <v>7</v>
      </c>
      <c r="F20" s="62">
        <v>3</v>
      </c>
      <c r="G20" s="62">
        <v>5.6666666670000003</v>
      </c>
      <c r="H20" s="62" t="s">
        <v>223</v>
      </c>
      <c r="I20" s="62" t="s">
        <v>223</v>
      </c>
      <c r="J20" s="62" t="s">
        <v>224</v>
      </c>
      <c r="M20" s="62" t="s">
        <v>171</v>
      </c>
      <c r="N20" s="62">
        <f>AVERAGEIF($C$2:$C$23, "A", $E$2:$E$23)</f>
        <v>4.75</v>
      </c>
      <c r="O20" s="62">
        <f>AVERAGEIF($C$2:$C$23, "B", $E$2:$E$23)</f>
        <v>5.2857142857142856</v>
      </c>
      <c r="P20" s="62">
        <f>AVERAGEIF($C$2:$C$23, "C", $E$2:$E$23)</f>
        <v>6.8571428571428568</v>
      </c>
    </row>
    <row r="21" spans="1:16" x14ac:dyDescent="0.3">
      <c r="A21" s="62" t="s">
        <v>134</v>
      </c>
      <c r="B21" s="62" t="s">
        <v>133</v>
      </c>
      <c r="C21" s="62" t="s">
        <v>132</v>
      </c>
      <c r="D21" s="62">
        <v>8</v>
      </c>
      <c r="E21" s="62">
        <v>7</v>
      </c>
      <c r="F21" s="62">
        <v>3</v>
      </c>
      <c r="G21" s="62">
        <v>6</v>
      </c>
      <c r="H21" s="62" t="s">
        <v>223</v>
      </c>
      <c r="I21" s="62" t="s">
        <v>223</v>
      </c>
      <c r="J21" s="62" t="s">
        <v>224</v>
      </c>
      <c r="M21" s="62" t="s">
        <v>225</v>
      </c>
      <c r="N21" s="62">
        <f>AVERAGEIF($C$2:$C$23, "A", $F$2:$F$23)</f>
        <v>6.75</v>
      </c>
      <c r="O21" s="62">
        <f>AVERAGEIF($C$2:$C$23, "B", $F$2:$F$23)</f>
        <v>6.7142857142857144</v>
      </c>
      <c r="P21" s="62">
        <f>AVERAGEIF($C$2:$C$23, "C", $F$2:$F$23)</f>
        <v>5.8571428571428568</v>
      </c>
    </row>
    <row r="22" spans="1:16" x14ac:dyDescent="0.3">
      <c r="A22" s="62" t="s">
        <v>131</v>
      </c>
      <c r="B22" s="62" t="s">
        <v>130</v>
      </c>
      <c r="C22" s="62" t="s">
        <v>129</v>
      </c>
      <c r="D22" s="62">
        <v>8</v>
      </c>
      <c r="E22" s="62">
        <v>6</v>
      </c>
      <c r="F22" s="62">
        <v>7</v>
      </c>
      <c r="G22" s="62">
        <v>7</v>
      </c>
      <c r="H22" s="62" t="s">
        <v>223</v>
      </c>
      <c r="I22" s="62" t="s">
        <v>223</v>
      </c>
      <c r="J22" s="62" t="s">
        <v>223</v>
      </c>
    </row>
    <row r="23" spans="1:16" x14ac:dyDescent="0.3">
      <c r="A23" s="62" t="s">
        <v>128</v>
      </c>
      <c r="B23" s="62" t="s">
        <v>127</v>
      </c>
      <c r="C23" s="62" t="s">
        <v>126</v>
      </c>
      <c r="D23" s="62">
        <v>4</v>
      </c>
      <c r="E23" s="62">
        <v>6</v>
      </c>
      <c r="F23" s="62">
        <v>8</v>
      </c>
      <c r="G23" s="62">
        <v>6</v>
      </c>
      <c r="H23" s="62" t="s">
        <v>224</v>
      </c>
      <c r="I23" s="62" t="s">
        <v>223</v>
      </c>
      <c r="J23" s="62" t="s">
        <v>223</v>
      </c>
    </row>
    <row r="24" spans="1:16" x14ac:dyDescent="0.3">
      <c r="A24" s="62" t="s">
        <v>222</v>
      </c>
      <c r="B24" s="62"/>
      <c r="C24" s="62"/>
      <c r="D24" s="62">
        <v>22</v>
      </c>
      <c r="E24" s="62">
        <v>22</v>
      </c>
      <c r="F24" s="62">
        <v>22</v>
      </c>
      <c r="G24" s="62"/>
      <c r="H24" s="62"/>
      <c r="I24" s="62"/>
      <c r="J24" s="62"/>
    </row>
    <row r="25" spans="1:16" x14ac:dyDescent="0.3">
      <c r="A25" s="62" t="s">
        <v>169</v>
      </c>
      <c r="B25" s="62"/>
      <c r="C25" s="62"/>
      <c r="D25" s="62">
        <v>6.0909090910000003</v>
      </c>
      <c r="E25" s="62">
        <v>5.5909090910000003</v>
      </c>
      <c r="F25" s="62">
        <v>6.4545454549999999</v>
      </c>
      <c r="G25" s="62"/>
      <c r="H25" s="62"/>
      <c r="I25" s="62"/>
      <c r="J25" s="62"/>
    </row>
    <row r="26" spans="1:16" x14ac:dyDescent="0.3">
      <c r="A26" s="62" t="s">
        <v>221</v>
      </c>
      <c r="B26" s="62"/>
      <c r="C26" s="62"/>
      <c r="D26" s="62">
        <v>7</v>
      </c>
      <c r="E26" s="62">
        <v>5</v>
      </c>
      <c r="F26" s="62">
        <v>5</v>
      </c>
      <c r="G26" s="62"/>
      <c r="H26" s="62"/>
      <c r="I26" s="62"/>
      <c r="J26" s="62"/>
    </row>
  </sheetData>
  <mergeCells count="1"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EC7A-A05D-40B4-8BD1-E768A12EF734}">
  <dimension ref="A1:H6"/>
  <sheetViews>
    <sheetView workbookViewId="0">
      <selection activeCell="H3" sqref="H3"/>
    </sheetView>
  </sheetViews>
  <sheetFormatPr baseColWidth="10" defaultRowHeight="14.4" x14ac:dyDescent="0.3"/>
  <cols>
    <col min="1" max="7" width="11.5546875" style="24"/>
    <col min="8" max="8" width="11.5546875" style="25"/>
    <col min="9" max="16384" width="11.5546875" style="24"/>
  </cols>
  <sheetData>
    <row r="1" spans="1:8" x14ac:dyDescent="0.3">
      <c r="A1" s="77" t="s">
        <v>73</v>
      </c>
      <c r="B1" s="77"/>
      <c r="C1" s="77"/>
      <c r="D1" s="77"/>
      <c r="E1" s="77"/>
    </row>
    <row r="2" spans="1:8" x14ac:dyDescent="0.3">
      <c r="A2" s="34">
        <v>1</v>
      </c>
      <c r="B2" s="35">
        <v>100</v>
      </c>
      <c r="C2" s="33" t="s">
        <v>72</v>
      </c>
      <c r="D2" s="34">
        <v>1</v>
      </c>
      <c r="E2" s="33">
        <v>100</v>
      </c>
      <c r="G2" s="32" t="s">
        <v>71</v>
      </c>
      <c r="H2" s="31">
        <v>1200</v>
      </c>
    </row>
    <row r="3" spans="1:8" x14ac:dyDescent="0.3">
      <c r="A3" s="30">
        <v>101</v>
      </c>
      <c r="B3" s="24">
        <v>500</v>
      </c>
      <c r="C3" s="29" t="s">
        <v>70</v>
      </c>
      <c r="D3" s="30">
        <v>101</v>
      </c>
      <c r="E3" s="29">
        <v>500</v>
      </c>
      <c r="G3" s="32" t="s">
        <v>69</v>
      </c>
      <c r="H3" s="31">
        <f>VLOOKUP(H2,A2:C6,2,TRUE)</f>
        <v>1500</v>
      </c>
    </row>
    <row r="4" spans="1:8" x14ac:dyDescent="0.3">
      <c r="A4" s="30">
        <v>501</v>
      </c>
      <c r="B4" s="24">
        <v>1000</v>
      </c>
      <c r="C4" s="29" t="s">
        <v>27</v>
      </c>
      <c r="D4" s="30">
        <v>501</v>
      </c>
      <c r="E4" s="29">
        <v>1000</v>
      </c>
      <c r="G4" s="32" t="s">
        <v>68</v>
      </c>
      <c r="H4" s="31" t="str">
        <f>VLOOKUP(H2,A2:C6,3,TRUE)</f>
        <v>Rodolfo</v>
      </c>
    </row>
    <row r="5" spans="1:8" x14ac:dyDescent="0.3">
      <c r="A5" s="30">
        <v>1001</v>
      </c>
      <c r="B5" s="24">
        <v>1500</v>
      </c>
      <c r="C5" s="29" t="s">
        <v>67</v>
      </c>
      <c r="D5" s="30">
        <v>1001</v>
      </c>
      <c r="E5" s="29">
        <v>1500</v>
      </c>
    </row>
    <row r="6" spans="1:8" x14ac:dyDescent="0.3">
      <c r="A6" s="27">
        <v>1501</v>
      </c>
      <c r="B6" s="28"/>
      <c r="C6" s="26" t="s">
        <v>66</v>
      </c>
      <c r="D6" s="27">
        <v>1501</v>
      </c>
      <c r="E6" s="26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E2B0-C6E4-48BA-AAEA-D847CC9C97C7}">
  <dimension ref="A1:I22"/>
  <sheetViews>
    <sheetView workbookViewId="0">
      <selection activeCell="E12" sqref="E12"/>
    </sheetView>
  </sheetViews>
  <sheetFormatPr baseColWidth="10" defaultRowHeight="14.4" x14ac:dyDescent="0.3"/>
  <cols>
    <col min="1" max="16384" width="11.5546875" style="24"/>
  </cols>
  <sheetData>
    <row r="1" spans="1:9" x14ac:dyDescent="0.3">
      <c r="A1" s="32" t="s">
        <v>92</v>
      </c>
      <c r="B1" s="32">
        <v>100</v>
      </c>
      <c r="C1" s="32">
        <v>101</v>
      </c>
      <c r="D1" s="32">
        <v>102</v>
      </c>
      <c r="E1" s="32">
        <v>103</v>
      </c>
      <c r="F1" s="32">
        <v>104</v>
      </c>
      <c r="G1" s="32">
        <v>105</v>
      </c>
      <c r="H1" s="32">
        <v>106</v>
      </c>
      <c r="I1" s="32">
        <v>107</v>
      </c>
    </row>
    <row r="2" spans="1:9" x14ac:dyDescent="0.3">
      <c r="A2" s="32" t="s">
        <v>91</v>
      </c>
      <c r="B2" s="32" t="s">
        <v>88</v>
      </c>
      <c r="C2" s="32" t="s">
        <v>86</v>
      </c>
      <c r="D2" s="32" t="s">
        <v>85</v>
      </c>
      <c r="E2" s="32" t="s">
        <v>83</v>
      </c>
      <c r="F2" s="32" t="s">
        <v>81</v>
      </c>
      <c r="G2" s="32" t="s">
        <v>79</v>
      </c>
      <c r="H2" s="32" t="s">
        <v>77</v>
      </c>
      <c r="I2" s="32" t="s">
        <v>75</v>
      </c>
    </row>
    <row r="3" spans="1:9" x14ac:dyDescent="0.3">
      <c r="A3" s="32" t="s">
        <v>90</v>
      </c>
      <c r="B3" s="32" t="s">
        <v>87</v>
      </c>
      <c r="C3" s="32" t="s">
        <v>80</v>
      </c>
      <c r="D3" s="32" t="s">
        <v>84</v>
      </c>
      <c r="E3" s="32" t="s">
        <v>82</v>
      </c>
      <c r="F3" s="32" t="s">
        <v>80</v>
      </c>
      <c r="G3" s="32" t="s">
        <v>78</v>
      </c>
      <c r="H3" s="32" t="s">
        <v>76</v>
      </c>
      <c r="I3" s="32" t="s">
        <v>74</v>
      </c>
    </row>
    <row r="4" spans="1:9" x14ac:dyDescent="0.3">
      <c r="A4" s="32" t="s">
        <v>89</v>
      </c>
      <c r="B4" s="36">
        <v>80000</v>
      </c>
      <c r="C4" s="36">
        <v>12000</v>
      </c>
      <c r="D4" s="36">
        <v>200000</v>
      </c>
      <c r="E4" s="36">
        <v>50000</v>
      </c>
      <c r="F4" s="36">
        <v>75000</v>
      </c>
      <c r="G4" s="36">
        <v>125000</v>
      </c>
      <c r="H4" s="36">
        <v>5000</v>
      </c>
      <c r="I4" s="36">
        <v>10000</v>
      </c>
    </row>
    <row r="7" spans="1:9" x14ac:dyDescent="0.3">
      <c r="A7" s="32" t="s">
        <v>92</v>
      </c>
      <c r="B7" s="32" t="s">
        <v>91</v>
      </c>
      <c r="C7" s="32" t="s">
        <v>90</v>
      </c>
      <c r="D7" s="32" t="s">
        <v>89</v>
      </c>
    </row>
    <row r="8" spans="1:9" x14ac:dyDescent="0.3">
      <c r="A8" s="32">
        <v>102</v>
      </c>
      <c r="B8" s="32" t="str">
        <f>HLOOKUP(A8,$B$1:$I$4,2,FALSE)</f>
        <v>ORDENADOR</v>
      </c>
      <c r="C8" s="32" t="str">
        <f>HLOOKUP(A8,B1:I4,3,FALSE)</f>
        <v>IBM</v>
      </c>
      <c r="D8" s="36">
        <f>HLOOKUP(A8,B1:I4,4,FALSE)</f>
        <v>200000</v>
      </c>
    </row>
    <row r="9" spans="1:9" x14ac:dyDescent="0.3">
      <c r="A9" s="32">
        <v>100</v>
      </c>
      <c r="B9" s="32" t="str">
        <f>HLOOKUP(A9,B1:I4,2,FALSE)</f>
        <v>TELEVISOR</v>
      </c>
      <c r="C9" s="32" t="str">
        <f>HLOOKUP(A9,B1:I4,3,FALSE)</f>
        <v>ELBE</v>
      </c>
      <c r="D9" s="36">
        <f>HLOOKUP(A9,B1:I4,4,FALSE)</f>
        <v>80000</v>
      </c>
    </row>
    <row r="14" spans="1:9" x14ac:dyDescent="0.3">
      <c r="A14" s="32" t="s">
        <v>92</v>
      </c>
      <c r="B14" s="32" t="s">
        <v>91</v>
      </c>
      <c r="C14" s="32" t="s">
        <v>90</v>
      </c>
      <c r="D14" s="32" t="s">
        <v>89</v>
      </c>
    </row>
    <row r="15" spans="1:9" x14ac:dyDescent="0.3">
      <c r="A15" s="32">
        <v>100</v>
      </c>
      <c r="B15" s="32" t="s">
        <v>88</v>
      </c>
      <c r="C15" s="32" t="s">
        <v>87</v>
      </c>
      <c r="D15" s="36">
        <v>80000</v>
      </c>
    </row>
    <row r="16" spans="1:9" x14ac:dyDescent="0.3">
      <c r="A16" s="32">
        <v>101</v>
      </c>
      <c r="B16" s="32" t="s">
        <v>86</v>
      </c>
      <c r="C16" s="32" t="s">
        <v>80</v>
      </c>
      <c r="D16" s="36">
        <v>12000</v>
      </c>
    </row>
    <row r="17" spans="1:4" x14ac:dyDescent="0.3">
      <c r="A17" s="32">
        <v>102</v>
      </c>
      <c r="B17" s="32" t="s">
        <v>85</v>
      </c>
      <c r="C17" s="32" t="s">
        <v>84</v>
      </c>
      <c r="D17" s="36">
        <v>200000</v>
      </c>
    </row>
    <row r="18" spans="1:4" x14ac:dyDescent="0.3">
      <c r="A18" s="32">
        <v>103</v>
      </c>
      <c r="B18" s="32" t="s">
        <v>83</v>
      </c>
      <c r="C18" s="32" t="s">
        <v>82</v>
      </c>
      <c r="D18" s="36">
        <v>50000</v>
      </c>
    </row>
    <row r="19" spans="1:4" x14ac:dyDescent="0.3">
      <c r="A19" s="32">
        <v>104</v>
      </c>
      <c r="B19" s="32" t="s">
        <v>81</v>
      </c>
      <c r="C19" s="32" t="s">
        <v>80</v>
      </c>
      <c r="D19" s="36">
        <v>75000</v>
      </c>
    </row>
    <row r="20" spans="1:4" x14ac:dyDescent="0.3">
      <c r="A20" s="32">
        <v>105</v>
      </c>
      <c r="B20" s="32" t="s">
        <v>79</v>
      </c>
      <c r="C20" s="32" t="s">
        <v>78</v>
      </c>
      <c r="D20" s="36">
        <v>125000</v>
      </c>
    </row>
    <row r="21" spans="1:4" x14ac:dyDescent="0.3">
      <c r="A21" s="32">
        <v>106</v>
      </c>
      <c r="B21" s="32" t="s">
        <v>77</v>
      </c>
      <c r="C21" s="32" t="s">
        <v>76</v>
      </c>
      <c r="D21" s="36">
        <v>5000</v>
      </c>
    </row>
    <row r="22" spans="1:4" x14ac:dyDescent="0.3">
      <c r="A22" s="32">
        <v>107</v>
      </c>
      <c r="B22" s="32" t="s">
        <v>75</v>
      </c>
      <c r="C22" s="32" t="s">
        <v>74</v>
      </c>
      <c r="D22" s="36">
        <v>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8E54-4E2E-4AAA-9BA0-7D33D528F9EB}">
  <dimension ref="A7:E31"/>
  <sheetViews>
    <sheetView workbookViewId="0">
      <selection activeCell="A20" sqref="A20"/>
    </sheetView>
  </sheetViews>
  <sheetFormatPr baseColWidth="10" defaultRowHeight="14.4" x14ac:dyDescent="0.3"/>
  <cols>
    <col min="1" max="16384" width="11.5546875" style="24"/>
  </cols>
  <sheetData>
    <row r="7" spans="1:5" x14ac:dyDescent="0.3">
      <c r="A7" s="32"/>
      <c r="B7" s="78" t="s">
        <v>112</v>
      </c>
      <c r="C7" s="78"/>
    </row>
    <row r="8" spans="1:5" x14ac:dyDescent="0.3">
      <c r="A8" s="32"/>
      <c r="B8" s="78" t="s">
        <v>111</v>
      </c>
      <c r="C8" s="78"/>
    </row>
    <row r="9" spans="1:5" x14ac:dyDescent="0.3">
      <c r="A9" s="32" t="s">
        <v>110</v>
      </c>
      <c r="B9" s="78" t="s">
        <v>109</v>
      </c>
      <c r="C9" s="78"/>
    </row>
    <row r="10" spans="1:5" x14ac:dyDescent="0.3">
      <c r="A10" s="32" t="s">
        <v>108</v>
      </c>
      <c r="B10" s="78" t="s">
        <v>107</v>
      </c>
      <c r="C10" s="78"/>
    </row>
    <row r="11" spans="1:5" x14ac:dyDescent="0.3">
      <c r="A11" s="32" t="s">
        <v>106</v>
      </c>
      <c r="B11" s="78" t="s">
        <v>105</v>
      </c>
      <c r="C11" s="78"/>
    </row>
    <row r="12" spans="1:5" x14ac:dyDescent="0.3">
      <c r="A12" s="32" t="s">
        <v>104</v>
      </c>
      <c r="B12" s="78"/>
      <c r="C12" s="78"/>
    </row>
    <row r="14" spans="1:5" ht="28.8" x14ac:dyDescent="0.3">
      <c r="A14" s="42" t="s">
        <v>103</v>
      </c>
      <c r="B14" s="41" t="s">
        <v>102</v>
      </c>
      <c r="C14" s="43" t="s">
        <v>101</v>
      </c>
      <c r="D14" s="42" t="s">
        <v>100</v>
      </c>
      <c r="E14" s="41" t="s">
        <v>99</v>
      </c>
    </row>
    <row r="15" spans="1:5" ht="28.8" x14ac:dyDescent="0.3">
      <c r="A15" s="39">
        <v>1</v>
      </c>
      <c r="B15" s="40" t="str">
        <f>IF(A15="","",HLOOKUP(A15,Practica7_1!$A$1:$L$3,2,FALSE))</f>
        <v>1.2GB HARD DISK</v>
      </c>
      <c r="C15" s="39">
        <f>IF(A15="","",HLOOKUP(A15,Practica7_1!$A$1:$L$3,3,FALSE))</f>
        <v>245.95</v>
      </c>
      <c r="D15" s="39">
        <v>5</v>
      </c>
      <c r="E15" s="29">
        <f>C15*D15</f>
        <v>1229.75</v>
      </c>
    </row>
    <row r="16" spans="1:5" ht="28.8" x14ac:dyDescent="0.3">
      <c r="A16" s="39">
        <v>2</v>
      </c>
      <c r="B16" s="40" t="str">
        <f>IF(A16="","",HLOOKUP(A16,Practica7_1!$A$1:$L$3,2,FALSE))</f>
        <v xml:space="preserve">850MB HARD DISK </v>
      </c>
      <c r="C16" s="39">
        <f>IF(A16="","",HLOOKUP(A16,Practica7_1!$A$1:$L$3,3,FALSE))</f>
        <v>145.94999999999999</v>
      </c>
      <c r="D16" s="39">
        <v>3</v>
      </c>
      <c r="E16" s="29">
        <f>C16*D16</f>
        <v>437.84999999999997</v>
      </c>
    </row>
    <row r="17" spans="1:5" ht="28.8" x14ac:dyDescent="0.3">
      <c r="A17" s="39">
        <v>7</v>
      </c>
      <c r="B17" s="40" t="str">
        <f>IF(A17="","",HLOOKUP(A17,Practica7_1!$A$1:$L$3,2,FALSE))</f>
        <v>101 KEYBOARD</v>
      </c>
      <c r="C17" s="39">
        <f>IF(A17="","",HLOOKUP(A17,Practica7_1!$A$1:$L$3,3,FALSE))</f>
        <v>45.95</v>
      </c>
      <c r="D17" s="39">
        <v>2</v>
      </c>
      <c r="E17" s="29">
        <f>C17*D17</f>
        <v>91.9</v>
      </c>
    </row>
    <row r="18" spans="1:5" ht="28.8" x14ac:dyDescent="0.3">
      <c r="A18" s="39">
        <v>9</v>
      </c>
      <c r="B18" s="40" t="str">
        <f>IF(A18="","",HLOOKUP(A18,Practica7_1!$A$1:$L$3,2,FALSE))</f>
        <v>LASER PRINTER</v>
      </c>
      <c r="C18" s="39">
        <f>IF(A18="","",HLOOKUP(A18,Practica7_1!$A$1:$L$3,3,FALSE))</f>
        <v>76.98</v>
      </c>
      <c r="D18" s="39">
        <v>1</v>
      </c>
      <c r="E18" s="29">
        <f>C18*D18</f>
        <v>76.98</v>
      </c>
    </row>
    <row r="19" spans="1:5" ht="28.8" x14ac:dyDescent="0.3">
      <c r="A19" s="39">
        <v>5</v>
      </c>
      <c r="B19" s="40" t="str">
        <f>IF(A19="","",HLOOKUP(A19,Practica7_1!$A$1:$L$3,2,FALSE))</f>
        <v>SVGA MONITOR</v>
      </c>
      <c r="C19" s="39">
        <f>IF(A19="","",HLOOKUP(A19,Practica7_1!$A$1:$L$3,3,FALSE))</f>
        <v>289.99</v>
      </c>
      <c r="D19" s="39">
        <v>1</v>
      </c>
      <c r="E19" s="29">
        <f>C19*D19</f>
        <v>289.99</v>
      </c>
    </row>
    <row r="20" spans="1:5" x14ac:dyDescent="0.3">
      <c r="A20" s="39"/>
      <c r="B20" s="40" t="str">
        <f>IF(A20="","",HLOOKUP(A20,Practica7_1!$A$1:$L$3,2,FALSE))</f>
        <v/>
      </c>
      <c r="C20" s="39" t="str">
        <f>IF(A20="","",HLOOKUP(A20,Practica7_1!$A$1:$L$3,3,FALSE))</f>
        <v/>
      </c>
      <c r="D20" s="39"/>
      <c r="E20" s="29"/>
    </row>
    <row r="21" spans="1:5" x14ac:dyDescent="0.3">
      <c r="A21" s="39"/>
      <c r="B21" s="40" t="str">
        <f>IF(A21="","",HLOOKUP(A21,Practica7_1!$A$1:$L$3,2,FALSE))</f>
        <v/>
      </c>
      <c r="C21" s="39" t="str">
        <f>IF(A21="","",HLOOKUP(A21,Practica7_1!$A$1:$L$3,3,FALSE))</f>
        <v/>
      </c>
      <c r="D21" s="39"/>
      <c r="E21" s="29"/>
    </row>
    <row r="22" spans="1:5" x14ac:dyDescent="0.3">
      <c r="A22" s="39"/>
      <c r="B22" s="40" t="str">
        <f>IF(A22="","",HLOOKUP(A22,Practica7_1!$A$1:$L$3,2,FALSE))</f>
        <v/>
      </c>
      <c r="C22" s="39" t="str">
        <f>IF(A22="","",HLOOKUP(A22,Practica7_1!$A$1:$L$3,3,FALSE))</f>
        <v/>
      </c>
      <c r="D22" s="39"/>
      <c r="E22" s="29"/>
    </row>
    <row r="23" spans="1:5" x14ac:dyDescent="0.3">
      <c r="A23" s="39"/>
      <c r="B23" s="29"/>
      <c r="C23" s="39" t="str">
        <f>IF(A23="","",HLOOKUP(A23,Practica7_1!$A$1:$L$3,3,FALSE))</f>
        <v/>
      </c>
      <c r="D23" s="39"/>
      <c r="E23" s="29"/>
    </row>
    <row r="24" spans="1:5" x14ac:dyDescent="0.3">
      <c r="A24" s="39"/>
      <c r="B24" s="29"/>
      <c r="C24" s="39" t="str">
        <f>IF(A24="","",HLOOKUP(A24,Practica7_1!$A$1:$L$3,3,FALSE))</f>
        <v/>
      </c>
      <c r="D24" s="39"/>
      <c r="E24" s="29"/>
    </row>
    <row r="25" spans="1:5" x14ac:dyDescent="0.3">
      <c r="A25" s="39"/>
      <c r="B25" s="29"/>
      <c r="C25" s="39" t="str">
        <f>IF(A25="","",HLOOKUP(A25,Practica7_1!$A$1:$L$3,3,FALSE))</f>
        <v/>
      </c>
      <c r="D25" s="38"/>
      <c r="E25" s="29"/>
    </row>
    <row r="26" spans="1:5" x14ac:dyDescent="0.3">
      <c r="A26" s="39"/>
      <c r="B26" s="29"/>
      <c r="C26" s="39"/>
      <c r="D26" s="37" t="s">
        <v>98</v>
      </c>
      <c r="E26" s="32">
        <f>SUM(E15:E25)</f>
        <v>2126.4700000000003</v>
      </c>
    </row>
    <row r="27" spans="1:5" x14ac:dyDescent="0.3">
      <c r="A27" s="39"/>
      <c r="B27" s="29"/>
      <c r="C27" s="39"/>
      <c r="D27" s="37" t="s">
        <v>97</v>
      </c>
      <c r="E27" s="32">
        <v>0</v>
      </c>
    </row>
    <row r="28" spans="1:5" x14ac:dyDescent="0.3">
      <c r="A28" s="39"/>
      <c r="B28" s="29"/>
      <c r="C28" s="39"/>
      <c r="D28" s="37" t="s">
        <v>96</v>
      </c>
      <c r="E28" s="32">
        <f>E26*(1-E27)*0.16</f>
        <v>340.23520000000002</v>
      </c>
    </row>
    <row r="29" spans="1:5" x14ac:dyDescent="0.3">
      <c r="A29" s="39"/>
      <c r="B29" s="29"/>
      <c r="C29" s="39"/>
      <c r="D29" s="37" t="s">
        <v>95</v>
      </c>
      <c r="E29" s="32">
        <v>50</v>
      </c>
    </row>
    <row r="30" spans="1:5" x14ac:dyDescent="0.3">
      <c r="A30" s="39"/>
      <c r="B30" s="29"/>
      <c r="C30" s="39"/>
      <c r="D30" s="37" t="s">
        <v>94</v>
      </c>
      <c r="E30" s="32">
        <f>E26*(1-E27)+E28+E29</f>
        <v>2516.7052000000003</v>
      </c>
    </row>
    <row r="31" spans="1:5" x14ac:dyDescent="0.3">
      <c r="A31" s="38"/>
      <c r="B31" s="26"/>
      <c r="C31" s="38"/>
      <c r="D31" s="37" t="s">
        <v>93</v>
      </c>
      <c r="E31" s="32">
        <f>E30*0.05</f>
        <v>125.83526000000002</v>
      </c>
    </row>
  </sheetData>
  <mergeCells count="6">
    <mergeCell ref="B7:C7"/>
    <mergeCell ref="B9:C9"/>
    <mergeCell ref="B10:C10"/>
    <mergeCell ref="B11:C11"/>
    <mergeCell ref="B12:C12"/>
    <mergeCell ref="B8:C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C7E-BA41-438D-9EE0-B1D6385D065E}">
  <dimension ref="A1:L3"/>
  <sheetViews>
    <sheetView workbookViewId="0">
      <selection activeCell="L3" sqref="L3"/>
    </sheetView>
  </sheetViews>
  <sheetFormatPr baseColWidth="10" defaultRowHeight="14.4" x14ac:dyDescent="0.3"/>
  <cols>
    <col min="1" max="16384" width="11.5546875" style="24"/>
  </cols>
  <sheetData>
    <row r="1" spans="1:12" x14ac:dyDescent="0.3">
      <c r="A1" s="32" t="s">
        <v>125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</row>
    <row r="2" spans="1:12" ht="28.8" x14ac:dyDescent="0.3">
      <c r="A2" s="32" t="s">
        <v>124</v>
      </c>
      <c r="B2" s="44" t="s">
        <v>123</v>
      </c>
      <c r="C2" s="44" t="s">
        <v>122</v>
      </c>
      <c r="D2" s="44" t="s">
        <v>121</v>
      </c>
      <c r="E2" s="44" t="s">
        <v>120</v>
      </c>
      <c r="F2" s="44" t="s">
        <v>119</v>
      </c>
      <c r="G2" s="44" t="s">
        <v>118</v>
      </c>
      <c r="H2" s="44" t="s">
        <v>117</v>
      </c>
      <c r="I2" s="44" t="s">
        <v>116</v>
      </c>
      <c r="J2" s="44" t="s">
        <v>115</v>
      </c>
      <c r="K2" s="44" t="s">
        <v>114</v>
      </c>
      <c r="L2" s="44" t="s">
        <v>113</v>
      </c>
    </row>
    <row r="3" spans="1:12" x14ac:dyDescent="0.3">
      <c r="A3" s="32" t="s">
        <v>101</v>
      </c>
      <c r="B3" s="32">
        <v>245.95</v>
      </c>
      <c r="C3" s="32">
        <v>145.94999999999999</v>
      </c>
      <c r="D3" s="32">
        <v>75.25</v>
      </c>
      <c r="E3" s="32">
        <v>25.95</v>
      </c>
      <c r="F3" s="32">
        <v>289.99</v>
      </c>
      <c r="G3" s="32">
        <v>345.25</v>
      </c>
      <c r="H3" s="32">
        <v>45.95</v>
      </c>
      <c r="I3" s="32">
        <v>123.96</v>
      </c>
      <c r="J3" s="32">
        <v>76.98</v>
      </c>
      <c r="K3" s="32">
        <v>245.55</v>
      </c>
      <c r="L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Práctica1</vt:lpstr>
      <vt:lpstr>Práctica2</vt:lpstr>
      <vt:lpstr>Práctica 3</vt:lpstr>
      <vt:lpstr>Práctica 4</vt:lpstr>
      <vt:lpstr>Práctica 5</vt:lpstr>
      <vt:lpstr>Practica 6</vt:lpstr>
      <vt:lpstr>Practica 7</vt:lpstr>
      <vt:lpstr>Practica8</vt:lpstr>
      <vt:lpstr>Práctica 9</vt:lpstr>
      <vt:lpstr>Practica 10</vt:lpstr>
      <vt:lpstr>Practica11_5</vt:lpstr>
      <vt:lpstr>Practica6</vt:lpstr>
      <vt:lpstr>Practica7</vt:lpstr>
      <vt:lpstr>Practica7_1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2026-04-15T19:14:02Z</dcterms:created>
  <dcterms:modified xsi:type="dcterms:W3CDTF">2026-05-21T13:47:15Z</dcterms:modified>
</cp:coreProperties>
</file>